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" autoFilterDateGrouping="1"/>
  </bookViews>
  <sheets>
    <sheet xmlns:r="http://schemas.openxmlformats.org/officeDocument/2006/relationships" name="בית" sheetId="1" state="visible" r:id="rId1"/>
    <sheet xmlns:r="http://schemas.openxmlformats.org/officeDocument/2006/relationships" name="שאלון" sheetId="2" state="visible" r:id="rId2"/>
    <sheet xmlns:r="http://schemas.openxmlformats.org/officeDocument/2006/relationships" name="מיפוי" sheetId="3" state="visible" r:id="rId3"/>
    <sheet xmlns:r="http://schemas.openxmlformats.org/officeDocument/2006/relationships" name="חובות" sheetId="4" state="visible" r:id="rId4"/>
    <sheet xmlns:r="http://schemas.openxmlformats.org/officeDocument/2006/relationships" name="מאזן" sheetId="5" state="visible" r:id="rId5"/>
    <sheet xmlns:r="http://schemas.openxmlformats.org/officeDocument/2006/relationships" name="מטרות ויעדים" sheetId="6" state="visible" r:id="rId6"/>
    <sheet xmlns:r="http://schemas.openxmlformats.org/officeDocument/2006/relationships" name="תזרים" sheetId="7" state="visible" r:id="rId7"/>
    <sheet xmlns:r="http://schemas.openxmlformats.org/officeDocument/2006/relationships" name="עסק" sheetId="8" state="hidden" r:id="rId8"/>
    <sheet xmlns:r="http://schemas.openxmlformats.org/officeDocument/2006/relationships" name="סיכום שנתי" sheetId="9" state="visible" r:id="rId9"/>
    <sheet xmlns:r="http://schemas.openxmlformats.org/officeDocument/2006/relationships" name="תובנות" sheetId="10" state="visible" r:id="rId10"/>
    <sheet xmlns:r="http://schemas.openxmlformats.org/officeDocument/2006/relationships" name="יומן ליווי" sheetId="11" state="visible" r:id="rId11"/>
    <sheet xmlns:r="http://schemas.openxmlformats.org/officeDocument/2006/relationships" name="מחשבונים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%"/>
    <numFmt numFmtId="166" formatCode=";;;"/>
    <numFmt numFmtId="167" formatCode="0.0"/>
  </numFmts>
  <fonts count="30">
    <font>
      <name val="Arial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A6B76"/>
      <sz val="9.5"/>
    </font>
    <font>
      <name val="Arial"/>
      <family val="2"/>
      <b val="1"/>
      <color rgb="FF213540"/>
      <sz val="15"/>
    </font>
    <font>
      <name val="Arial"/>
      <family val="2"/>
      <b val="1"/>
      <color rgb="FF1F4E79"/>
      <sz val="12"/>
      <u val="single"/>
    </font>
    <font>
      <name val="Arial"/>
      <family val="2"/>
      <color rgb="FF213540"/>
      <sz val="10"/>
    </font>
    <font>
      <name val="Arial"/>
      <family val="2"/>
      <i val="1"/>
      <color rgb="FF5A6B76"/>
      <sz val="9"/>
    </font>
    <font>
      <name val="Arial"/>
      <family val="2"/>
      <b val="1"/>
      <color rgb="FF21354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213540"/>
      <sz val="9.5"/>
    </font>
    <font>
      <name val="Arial"/>
      <family val="2"/>
      <color rgb="FFAAB7C0"/>
      <sz val="8"/>
    </font>
    <font>
      <name val="Arial"/>
      <family val="2"/>
      <color rgb="FFFFFFFF"/>
      <sz val="8"/>
    </font>
    <font>
      <name val="Arial"/>
      <family val="2"/>
      <b val="1"/>
      <color rgb="FF213540"/>
      <sz val="17"/>
    </font>
    <font>
      <name val="Arial"/>
      <family val="2"/>
      <color rgb="FF5A6B76"/>
      <sz val="9.5"/>
    </font>
    <font>
      <name val="Arial"/>
      <family val="2"/>
      <b val="1"/>
      <color rgb="FF213540"/>
      <sz val="10.5"/>
    </font>
    <font>
      <name val="Arial"/>
      <family val="2"/>
      <b val="1"/>
      <color rgb="FF213540"/>
      <sz val="11"/>
    </font>
    <font>
      <name val="Arial"/>
      <family val="2"/>
      <b val="1"/>
      <color rgb="FF5A6B76"/>
      <sz val="9"/>
    </font>
    <font>
      <name val="Arial"/>
      <family val="2"/>
      <color rgb="FF213540"/>
      <sz val="9.5"/>
    </font>
    <font>
      <name val="Arial"/>
      <family val="2"/>
      <b val="1"/>
      <color rgb="FF213540"/>
      <sz val="9"/>
    </font>
    <font>
      <name val="Arial"/>
      <family val="2"/>
      <b val="1"/>
      <color rgb="FF213540"/>
      <sz val="16"/>
    </font>
    <font>
      <name val="Arial"/>
      <family val="2"/>
      <color rgb="FF213540"/>
      <sz val="10.5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2"/>
    </font>
    <font>
      <name val="Arial"/>
      <family val="2"/>
      <b val="1"/>
      <color rgb="FF213540"/>
      <sz val="12"/>
    </font>
    <font>
      <name val="Arial"/>
      <color rgb="FF213540"/>
      <sz val="10"/>
    </font>
    <font>
      <name val="Arial"/>
      <i val="1"/>
      <color rgb="FF5A6B76"/>
      <sz val="9"/>
    </font>
    <font>
      <name val="Arial"/>
      <b val="1"/>
      <color rgb="FFFFFFFF"/>
      <sz val="10.5"/>
    </font>
    <font>
      <name val="Arial"/>
      <b val="1"/>
      <color rgb="FF213540"/>
      <sz val="9.5"/>
    </font>
    <font>
      <name val="Arial"/>
      <b val="1"/>
      <color rgb="FF213540"/>
      <sz val="10"/>
    </font>
    <font>
      <name val="Arial"/>
      <color rgb="FFFFFFFF"/>
      <sz val="8"/>
    </font>
  </fonts>
  <fills count="15">
    <fill>
      <patternFill/>
    </fill>
    <fill>
      <patternFill patternType="gray125"/>
    </fill>
    <fill>
      <patternFill patternType="solid">
        <fgColor rgb="FF4C7A94"/>
      </patternFill>
    </fill>
    <fill>
      <patternFill patternType="solid">
        <fgColor rgb="FF4E8A6B"/>
      </patternFill>
    </fill>
    <fill>
      <patternFill patternType="solid">
        <fgColor rgb="FFB8935A"/>
      </patternFill>
    </fill>
    <fill>
      <patternFill patternType="solid">
        <fgColor rgb="FFF3F7F9"/>
      </patternFill>
    </fill>
    <fill>
      <patternFill patternType="solid">
        <fgColor rgb="FFB85C5C"/>
      </patternFill>
    </fill>
    <fill>
      <patternFill patternType="solid">
        <fgColor rgb="FF6E8FA6"/>
      </patternFill>
    </fill>
    <fill>
      <patternFill patternType="solid">
        <fgColor rgb="FFFFF7E0"/>
      </patternFill>
    </fill>
    <fill>
      <patternFill patternType="solid">
        <fgColor rgb="FFE3ECF2"/>
      </patternFill>
    </fill>
    <fill>
      <patternFill patternType="solid">
        <fgColor rgb="FFE8EFF3"/>
      </patternFill>
    </fill>
    <fill>
      <patternFill patternType="solid">
        <fgColor rgb="FFE6F2E4"/>
      </patternFill>
    </fill>
    <fill>
      <patternFill patternType="solid">
        <fgColor rgb="FFFCEFD2"/>
      </patternFill>
    </fill>
    <fill>
      <patternFill patternType="solid">
        <fgColor rgb="FFF7FAFB"/>
      </patternFill>
    </fill>
    <fill>
      <patternFill patternType="solid">
        <fgColor rgb="FFF7DDDA"/>
      </patternFill>
    </fill>
  </fills>
  <borders count="12">
    <border>
      <left/>
      <right/>
      <top/>
      <bottom/>
      <diagonal/>
    </border>
    <border>
      <left style="thin">
        <color rgb="FFD5E1E8"/>
      </left>
      <right style="thin">
        <color rgb="FFD5E1E8"/>
      </right>
      <top style="thin">
        <color rgb="FFD5E1E8"/>
      </top>
      <bottom style="thin">
        <color rgb="FFD5E1E8"/>
      </bottom>
      <diagonal/>
    </border>
    <border>
      <left/>
      <right/>
      <top style="thin">
        <color rgb="FFD5E1E8"/>
      </top>
      <bottom/>
      <diagonal/>
    </border>
    <border>
      <left/>
      <right style="thin">
        <color rgb="FFD5E1E8"/>
      </right>
      <top style="thin">
        <color rgb="FFD5E1E8"/>
      </top>
      <bottom/>
      <diagonal/>
    </border>
    <border>
      <left/>
      <right/>
      <top style="thin">
        <color rgb="FFD5E1E8"/>
      </top>
      <bottom style="thin">
        <color rgb="FFD5E1E8"/>
      </bottom>
      <diagonal/>
    </border>
    <border>
      <left/>
      <right style="thin">
        <color rgb="FFD5E1E8"/>
      </right>
      <top style="thin">
        <color rgb="FFD5E1E8"/>
      </top>
      <bottom style="thin">
        <color rgb="FFD5E1E8"/>
      </bottom>
      <diagonal/>
    </border>
    <border>
      <left style="thin">
        <color rgb="FFD5E1E8"/>
      </left>
      <right/>
      <top/>
      <bottom style="thin">
        <color rgb="FFD5E1E8"/>
      </bottom>
      <diagonal/>
    </border>
    <border>
      <left/>
      <right/>
      <top/>
      <bottom style="thin">
        <color rgb="FFD5E1E8"/>
      </bottom>
      <diagonal/>
    </border>
    <border>
      <left/>
      <right style="thin">
        <color rgb="FFD5E1E8"/>
      </right>
      <top/>
      <bottom style="thin">
        <color rgb="FFD5E1E8"/>
      </bottom>
      <diagonal/>
    </border>
    <border>
      <left style="thin">
        <color rgb="FFD5E1E8"/>
      </left>
      <right/>
      <top/>
      <bottom/>
      <diagonal/>
    </border>
    <border>
      <left/>
      <right style="thin">
        <color rgb="FFD5E1E8"/>
      </right>
      <top/>
      <bottom/>
      <diagonal/>
    </border>
    <border>
      <left style="thin">
        <color rgb="FFD5E1E8"/>
      </left>
      <right style="thin">
        <color rgb="FFD5E1E8"/>
      </right>
      <top style="thin">
        <color rgb="FFD5E1E8"/>
      </top>
      <bottom style="thin">
        <color rgb="FFD5E1E8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8" fillId="4" borderId="1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" fontId="7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0" fontId="10" fillId="0" borderId="0" pivotButton="0" quotePrefix="0" xfId="0"/>
    <xf numFmtId="3" fontId="10" fillId="0" borderId="0" pivotButton="0" quotePrefix="0" xfId="0"/>
    <xf numFmtId="165" fontId="5" fillId="8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6" fontId="11" fillId="0" borderId="0" pivotButton="0" quotePrefix="0" xfId="0"/>
    <xf numFmtId="9" fontId="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3" fontId="17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9" fontId="7" fillId="9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" fontId="9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3" fontId="15" fillId="11" borderId="1" applyAlignment="1" pivotButton="0" quotePrefix="0" xfId="0">
      <alignment horizontal="center" vertical="center"/>
    </xf>
    <xf numFmtId="9" fontId="7" fillId="11" borderId="1" applyAlignment="1" pivotButton="0" quotePrefix="0" xfId="0">
      <alignment horizontal="center" vertical="center"/>
    </xf>
    <xf numFmtId="165" fontId="2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3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top" wrapText="1"/>
    </xf>
    <xf numFmtId="0" fontId="14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22" fillId="3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12" fillId="11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9" borderId="1" pivotButton="0" quotePrefix="0" xfId="0"/>
    <xf numFmtId="0" fontId="8" fillId="4" borderId="0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right" vertical="center"/>
    </xf>
    <xf numFmtId="9" fontId="19" fillId="0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4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3" fontId="24" fillId="0" borderId="11" applyAlignment="1" pivotButton="0" quotePrefix="0" xfId="0">
      <alignment horizontal="center" vertical="center"/>
    </xf>
    <xf numFmtId="9" fontId="25" fillId="0" borderId="1" applyAlignment="1" pivotButton="0" quotePrefix="0" xfId="0">
      <alignment horizontal="right" vertical="center"/>
    </xf>
    <xf numFmtId="3" fontId="24" fillId="8" borderId="1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66" fontId="11" fillId="0" borderId="0" pivotButton="0" quotePrefix="0" xfId="0"/>
    <xf numFmtId="165" fontId="23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26" fillId="3" borderId="0" applyAlignment="1" pivotButton="0" quotePrefix="0" xfId="0">
      <alignment horizontal="right" vertical="center"/>
    </xf>
    <xf numFmtId="0" fontId="27" fillId="10" borderId="11" applyAlignment="1" pivotButton="0" quotePrefix="0" xfId="0">
      <alignment horizontal="center" vertical="center" wrapText="1"/>
    </xf>
    <xf numFmtId="0" fontId="24" fillId="8" borderId="11" applyAlignment="1" pivotButton="0" quotePrefix="0" xfId="0">
      <alignment horizontal="right" vertical="center"/>
    </xf>
    <xf numFmtId="0" fontId="27" fillId="5" borderId="11" applyAlignment="1" pivotButton="0" quotePrefix="0" xfId="0">
      <alignment horizontal="right" vertical="center"/>
    </xf>
    <xf numFmtId="3" fontId="28" fillId="5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top" wrapText="1"/>
    </xf>
    <xf numFmtId="166" fontId="29" fillId="0" borderId="0" pivotButton="0" quotePrefix="0" xfId="0"/>
  </cellXfs>
  <cellStyles count="1">
    <cellStyle name="Normal" xfId="0" builtinId="0"/>
  </cellStyles>
  <dxfs count="20">
    <dxf>
      <fill>
        <patternFill patternType="solid">
          <fgColor rgb="FFE6F2E4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FCEFD2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FCEFD2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FCEFD2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FCEFD2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FCEFD2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E6F2E4"/>
        </patternFill>
      </fill>
    </dxf>
    <dxf>
      <fill>
        <patternFill patternType="solid">
          <fgColor rgb="FFF7DDDA"/>
        </patternFill>
      </fill>
    </dxf>
    <dxf>
      <fill>
        <patternFill patternType="solid">
          <fgColor rgb="FFE6F2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הכנסות מול הוצאות — חודש ממוצע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C7A9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B85C5C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D9A05B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6E9E7E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מיפוי!$R$62:$R$65</f>
              <strCache>
                <ptCount val="4"/>
                <pt idx="0">
                  <v>הכנסות</v>
                </pt>
                <pt idx="1">
                  <v>קבועות</v>
                </pt>
                <pt idx="2">
                  <v>משתנות</v>
                </pt>
                <pt idx="3">
                  <v>נשאר</v>
                </pt>
              </strCache>
            </strRef>
          </cat>
          <val>
            <numRef>
              <f>מיפוי!$S$62:$S$65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פיזור הנכסים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מאזן!$B$52:$B$56</f>
              <strCache>
                <ptCount val="5"/>
                <pt idx="0">
                  <v>נזיל (עו"ש, פיקדונות, כספית)</v>
                </pt>
                <pt idx="1">
                  <v>שוק ההון (השתלמות, גמל, תיק, ילדים)</v>
                </pt>
                <pt idx="2">
                  <v>פנסיוני</v>
                </pt>
                <pt idx="3">
                  <v>נדל"ן</v>
                </pt>
                <pt idx="4">
                  <v>אחר (רכב וכו׳)</v>
                </pt>
              </strCache>
            </strRef>
          </cat>
          <val>
            <numRef>
              <f>מאזן!$C$52:$C$56</f>
              <numCache>
                <formatCode>#,##0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שקל מול מט"ח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מאזן!$B$59:$B$60</f>
              <strCache>
                <ptCount val="2"/>
                <pt idx="0">
                  <v>נקוב או חשוף למט"ח</v>
                </pt>
                <pt idx="1">
                  <v>בשקלים</v>
                </pt>
              </strCache>
            </strRef>
          </cat>
          <val>
            <numRef>
              <f>מאזן!$C$59:$C$60</f>
              <numCache>
                <formatCode>#,##0</formatCode>
                <ptCount val="2"/>
                <pt idx="1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השווי הנקי לאורך השנים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 w="28000">
              <a:solidFill>
                <a:srgbClr val="4E8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מאזן!$C$68:$H$68</f>
              <numCache>
                <formatCode>0</formatCode>
                <ptCount val="6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  <pt idx="5">
                  <v>2031</v>
                </pt>
              </numCache>
            </numRef>
          </cat>
          <val>
            <numRef>
              <f>מאזן!$C$82:$H$82</f>
              <numCache>
                <formatCode>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0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התזרים קדימה — נטו חודשי, תכנון מול ביצוע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תזרים!$C$64</f>
              <strCache>
                <ptCount val="1"/>
                <pt idx="0">
                  <v>תכנון</v>
                </pt>
              </strCache>
            </strRef>
          </tx>
          <spPr>
            <a:solidFill xmlns:a="http://schemas.openxmlformats.org/drawingml/2006/main">
              <a:srgbClr val="B9CBD8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תזרים!$B$65:$B$76</f>
              <strCache>
                <ptCount val="12"/>
                <pt idx="0">
                  <v>ינו</v>
                </pt>
                <pt idx="1">
                  <v>פבר</v>
                </pt>
                <pt idx="2">
                  <v>מרץ</v>
                </pt>
                <pt idx="3">
                  <v>אפר</v>
                </pt>
                <pt idx="4">
                  <v>מאי</v>
                </pt>
                <pt idx="5">
                  <v>יונ</v>
                </pt>
                <pt idx="6">
                  <v>יול</v>
                </pt>
                <pt idx="7">
                  <v>אוג</v>
                </pt>
                <pt idx="8">
                  <v>ספט</v>
                </pt>
                <pt idx="9">
                  <v>אוק</v>
                </pt>
                <pt idx="10">
                  <v>נוב</v>
                </pt>
                <pt idx="11">
                  <v>דצמ</v>
                </pt>
              </strCache>
            </strRef>
          </cat>
          <val>
            <numRef>
              <f>תזרים!$C$65:$C$76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תזרים!$D$64</f>
              <strCache>
                <ptCount val="1"/>
                <pt idx="0">
                  <v>ביצוע</v>
                </pt>
              </strCache>
            </strRef>
          </tx>
          <spPr>
            <a:solidFill xmlns:a="http://schemas.openxmlformats.org/drawingml/2006/main">
              <a:srgbClr val="6E9E7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תזרים!$B$65:$B$76</f>
              <strCache>
                <ptCount val="12"/>
                <pt idx="0">
                  <v>ינו</v>
                </pt>
                <pt idx="1">
                  <v>פבר</v>
                </pt>
                <pt idx="2">
                  <v>מרץ</v>
                </pt>
                <pt idx="3">
                  <v>אפר</v>
                </pt>
                <pt idx="4">
                  <v>מאי</v>
                </pt>
                <pt idx="5">
                  <v>יונ</v>
                </pt>
                <pt idx="6">
                  <v>יול</v>
                </pt>
                <pt idx="7">
                  <v>אוג</v>
                </pt>
                <pt idx="8">
                  <v>ספט</v>
                </pt>
                <pt idx="9">
                  <v>אוק</v>
                </pt>
                <pt idx="10">
                  <v>נוב</v>
                </pt>
                <pt idx="11">
                  <v>דצמ</v>
                </pt>
              </strCache>
            </strRef>
          </cat>
          <val>
            <numRef>
              <f>תזרים!$D$65:$D$76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he-IL"/>
              <a:t>תזרים נטו — תכנון מול ביצוע, חודש אחר חודש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'סיכום שנתי'!$L$57</f>
              <strCache>
                <ptCount val="1"/>
                <pt idx="0">
                  <v>תכנון</v>
                </pt>
              </strCache>
            </strRef>
          </tx>
          <spPr>
            <a:solidFill xmlns:a="http://schemas.openxmlformats.org/drawingml/2006/main">
              <a:srgbClr val="B9CBD8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'סיכום שנתי'!$K$58:$K$69</f>
              <strCache>
                <ptCount val="12"/>
                <pt idx="0">
                  <v>ינו</v>
                </pt>
                <pt idx="1">
                  <v>פבר</v>
                </pt>
                <pt idx="2">
                  <v>מרץ</v>
                </pt>
                <pt idx="3">
                  <v>אפר</v>
                </pt>
                <pt idx="4">
                  <v>מאי</v>
                </pt>
                <pt idx="5">
                  <v>יונ</v>
                </pt>
                <pt idx="6">
                  <v>יול</v>
                </pt>
                <pt idx="7">
                  <v>אוג</v>
                </pt>
                <pt idx="8">
                  <v>ספט</v>
                </pt>
                <pt idx="9">
                  <v>אוק</v>
                </pt>
                <pt idx="10">
                  <v>נוב</v>
                </pt>
                <pt idx="11">
                  <v>דצמ</v>
                </pt>
              </strCache>
            </strRef>
          </cat>
          <val>
            <numRef>
              <f>'סיכום שנתי'!$L$58:$L$69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'סיכום שנתי'!$M$57</f>
              <strCache>
                <ptCount val="1"/>
                <pt idx="0">
                  <v>ביצוע</v>
                </pt>
              </strCache>
            </strRef>
          </tx>
          <spPr>
            <a:solidFill xmlns:a="http://schemas.openxmlformats.org/drawingml/2006/main">
              <a:srgbClr val="6E9E7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'סיכום שנתי'!$K$58:$K$69</f>
              <strCache>
                <ptCount val="12"/>
                <pt idx="0">
                  <v>ינו</v>
                </pt>
                <pt idx="1">
                  <v>פבר</v>
                </pt>
                <pt idx="2">
                  <v>מרץ</v>
                </pt>
                <pt idx="3">
                  <v>אפר</v>
                </pt>
                <pt idx="4">
                  <v>מאי</v>
                </pt>
                <pt idx="5">
                  <v>יונ</v>
                </pt>
                <pt idx="6">
                  <v>יול</v>
                </pt>
                <pt idx="7">
                  <v>אוג</v>
                </pt>
                <pt idx="8">
                  <v>ספט</v>
                </pt>
                <pt idx="9">
                  <v>אוק</v>
                </pt>
                <pt idx="10">
                  <v>נוב</v>
                </pt>
                <pt idx="11">
                  <v>דצמ</v>
                </pt>
              </strCache>
            </strRef>
          </cat>
          <val>
            <numRef>
              <f>'סיכום שנתי'!$M$58:$M$69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ניר</author>
  </authors>
  <commentList>
    <comment ref="F6" authorId="0" shapeId="0">
      <text>
        <t>הנטו של מי שנפטר/ה + ההפקדות לפנסיה שנפסקות.</t>
      </text>
    </comment>
    <comment ref="F7" authorId="0" shapeId="0">
      <text>
        <t>קצבת שארים מקרן הפנסיה (~60% מהשכר המבוטח לאלמן/ה)
+ קצבת שאירים מביטוח לאומי
+ ההכנסה של בן/בת הזוג שנשאר/ת.</t>
      </text>
    </comment>
    <comment ref="F9" authorId="0" shapeId="0">
      <text>
        <t>עד עצמאות הילדים או פרישת בן/בת הזוג.</t>
      </text>
    </comment>
    <comment ref="F11" authorId="0" shapeId="0">
      <text>
        <t>היוון: הסכום שאם יושקע בריבית זהירה, יספק את הפער החודשי לכל השנים.
מדויק יותר ממכפלה פשוטה — הכסף עובד בזמן שהוא נמשך.</t>
      </text>
    </comment>
    <comment ref="F12" authorId="0" shapeId="0">
      <text>
        <t>משכנתא והלוואות שאין להן ביטוח.
יש ביטוח משכנתא (חובה ברוב המשכנתאות)? לא כוללים אותה!</t>
      </text>
    </comment>
    <comment ref="F22" authorId="0" shapeId="0">
      <text>
        <t>לפי גיל ומין — מהדוח השנתי של קרן הפנסיה.
סדר גודל: גבר בן 30 ≈ 175 · בן 40 ≈ 276 · בן 55 ≈ 320.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62</row>
      <rowOff>0</rowOff>
    </from>
    <to>
      <col>8</col>
      <colOff>0</colOff>
      <row>78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0</colOff>
      <row>29</row>
      <rowOff>0</rowOff>
    </from>
    <to>
      <col>11</col>
      <colOff>0</colOff>
      <row>44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29</row>
      <rowOff>0</rowOff>
    </from>
    <to>
      <col>16</col>
      <colOff>0</colOff>
      <row>44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91</row>
      <rowOff>0</rowOff>
    </from>
    <to>
      <col>9</col>
      <colOff>0</colOff>
      <row>108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4</col>
      <colOff>0</colOff>
      <row>63</row>
      <rowOff>0</rowOff>
    </from>
    <to>
      <col>17</col>
      <colOff>0</colOff>
      <row>81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9</col>
      <colOff>0</colOff>
      <row>12</row>
      <rowOff>0</rowOff>
    </from>
    <to>
      <col>17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4C7A94"/>
    <outlinePr summaryBelow="1" summaryRight="1"/>
    <pageSetUpPr/>
  </sheetPr>
  <dimension ref="A1:F23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6" customWidth="1" style="65" min="2" max="2"/>
    <col width="14" customWidth="1" style="65" min="3" max="3"/>
    <col width="18" customWidth="1" style="65" min="4" max="6"/>
  </cols>
  <sheetData>
    <row r="1" ht="28" customHeight="1" s="65">
      <c r="B1" s="70" t="inlineStr">
        <is>
          <t>כלכלת המשפחה — ניהול תזרים</t>
        </is>
      </c>
    </row>
    <row r="2">
      <c r="B2" s="64" t="inlineStr">
        <is>
          <t>5 שלבים, לפי הסדר. לחצו על שם השלב כדי לקפוץ אליו.</t>
        </is>
      </c>
    </row>
    <row r="3"/>
    <row r="4" ht="20" customHeight="1" s="65">
      <c r="B4" s="71" t="inlineStr">
        <is>
          <t>תזרים החודש (ממוצע)</t>
        </is>
      </c>
      <c r="D4" s="69" t="inlineStr">
        <is>
          <t>כרית חירום (חודשים)</t>
        </is>
      </c>
      <c r="F4" s="1" t="inlineStr">
        <is>
          <t>% מהמטרות שממומן</t>
        </is>
      </c>
    </row>
    <row r="5" ht="26" customHeight="1" s="65">
      <c r="B5" s="66">
        <f>IFERROR(IF(תזרים!$AC$2&gt;0,תזרים!AB56/תזרים!$AC$2,תזרים!AA56/12),0)</f>
        <v/>
      </c>
      <c r="D5" s="108">
        <f>IFERROR((N(מאזן!C6)+N(מאזן!C7))/MAX(1,IF(תזרים!$AC$2&gt;0,תזרים!AB55/תזרים!$AC$2,תזרים!AA55/12)),0)</f>
        <v/>
      </c>
      <c r="F5" s="95">
        <f>IFERROR('מטרות ויעדים'!K17/'מטרות ויעדים'!J17,0)</f>
        <v/>
      </c>
    </row>
    <row r="6"/>
    <row r="7" ht="24" customHeight="1" s="65">
      <c r="B7" s="3" t="inlineStr">
        <is>
          <t>1</t>
        </is>
      </c>
      <c r="C7" s="4" t="inlineStr">
        <is>
          <t>שאלון</t>
        </is>
      </c>
      <c r="D7" s="61" t="inlineStr">
        <is>
          <t>מי אתם + המטרות הגדולות. מזין את מטרות ויעדים.</t>
        </is>
      </c>
      <c r="E7" s="62" t="n"/>
      <c r="F7" s="63" t="n"/>
    </row>
    <row r="8" ht="24" customHeight="1" s="65">
      <c r="B8" s="5" t="inlineStr">
        <is>
          <t>2</t>
        </is>
      </c>
      <c r="C8" s="4" t="inlineStr">
        <is>
          <t>מיפוי</t>
        </is>
      </c>
      <c r="D8" s="61" t="inlineStr">
        <is>
          <t>3 חודשים אחורה — לאן הכסף באמת הולך. כולל מנויים וביטוחים.</t>
        </is>
      </c>
      <c r="E8" s="62" t="n"/>
      <c r="F8" s="63" t="n"/>
    </row>
    <row r="9" ht="24" customHeight="1" s="65">
      <c r="B9" s="6" t="inlineStr">
        <is>
          <t>3</t>
        </is>
      </c>
      <c r="C9" s="4" t="inlineStr">
        <is>
          <t>חובות</t>
        </is>
      </c>
      <c r="D9" s="61" t="inlineStr">
        <is>
          <t>הלוואות ועסקאות בתשלומים — פעם אחת, זורם לתזרים.</t>
        </is>
      </c>
      <c r="E9" s="62" t="n"/>
      <c r="F9" s="63" t="n"/>
    </row>
    <row r="10" ht="24" customHeight="1" s="65">
      <c r="B10" s="7" t="inlineStr">
        <is>
          <t>4</t>
        </is>
      </c>
      <c r="C10" s="4" t="inlineStr">
        <is>
          <t>מאזן</t>
        </is>
      </c>
      <c r="D10" s="61" t="inlineStr">
        <is>
          <t>מה יש ומה חייבים — השווי הנקי של המשפחה.</t>
        </is>
      </c>
      <c r="E10" s="62" t="n"/>
      <c r="F10" s="63" t="n"/>
    </row>
    <row r="11" ht="24" customHeight="1" s="65">
      <c r="B11" s="8" t="inlineStr">
        <is>
          <t>5</t>
        </is>
      </c>
      <c r="C11" s="4" t="inlineStr">
        <is>
          <t>מטרות ויעדים</t>
        </is>
      </c>
      <c r="D11" s="61" t="inlineStr">
        <is>
          <t>החלומות: כמה צריך, כמה יש, כמה מפקידים.</t>
        </is>
      </c>
      <c r="E11" s="62" t="n"/>
      <c r="F11" s="63" t="n"/>
    </row>
    <row r="12" ht="24" customHeight="1" s="65">
      <c r="B12" s="8" t="inlineStr">
        <is>
          <t>6</t>
        </is>
      </c>
      <c r="C12" s="4" t="inlineStr">
        <is>
          <t>תזרים</t>
        </is>
      </c>
      <c r="D12" s="61" t="inlineStr">
        <is>
          <t>התכנית קדימה: תכנון מול ביצוע, חודש בחודש.</t>
        </is>
      </c>
      <c r="E12" s="62" t="n"/>
      <c r="F12" s="63" t="n"/>
    </row>
    <row r="13" ht="24" customHeight="1" s="65">
      <c r="B13" s="7" t="inlineStr">
        <is>
          <t>7</t>
        </is>
      </c>
      <c r="C13" s="4" t="inlineStr">
        <is>
          <t>סיכום שנתי</t>
        </is>
      </c>
      <c r="D13" s="61" t="inlineStr">
        <is>
          <t>המבט מלמעלה: רמזור, פילוח ומעקב שנים.</t>
        </is>
      </c>
      <c r="E13" s="62" t="n"/>
      <c r="F13" s="63" t="n"/>
    </row>
    <row r="14" ht="24" customHeight="1" s="65">
      <c r="B14" s="9" t="inlineStr">
        <is>
          <t>תאריך תחילת הפעילות (חודש ראשון בתזרים):</t>
        </is>
      </c>
      <c r="C14" s="109" t="inlineStr">
        <is>
          <t>תובנות</t>
        </is>
      </c>
      <c r="D14" s="61" t="inlineStr">
        <is>
          <t>העמוד שמציגים לזוג — רמזור ותוכנית פעולה.</t>
        </is>
      </c>
      <c r="E14" s="62" t="n"/>
      <c r="F14" s="63" t="n"/>
    </row>
    <row r="15" ht="24" customHeight="1" s="65">
      <c r="B15" s="3" t="inlineStr">
        <is>
          <t>9</t>
        </is>
      </c>
      <c r="C15" s="4" t="inlineStr">
        <is>
          <t>יומן ליווי</t>
        </is>
      </c>
      <c r="D15" s="61" t="inlineStr">
        <is>
          <t>מה סוכם בכל פגישה ומה המשימות.</t>
        </is>
      </c>
      <c r="E15" s="62" t="n"/>
      <c r="F15" s="63" t="n"/>
    </row>
    <row r="16"/>
    <row r="17">
      <c r="B17" s="67" t="inlineStr">
        <is>
          <t>צהוב = ממלאים. כל השאר מחושב לבד. ממלאים מיפוי פעם אחת — והתזרים כבר בנוי.</t>
        </is>
      </c>
    </row>
    <row r="18"/>
    <row r="19">
      <c r="B19" s="67" t="inlineStr">
        <is>
          <t>יש עסק? מסמנים בשאלון, ופותחים את לשונית עסק: קליק ימני על הלשוניות למטה ← הצג ← עסק.</t>
        </is>
      </c>
    </row>
    <row r="20"/>
    <row r="21">
      <c r="D21" s="90" t="inlineStr">
        <is>
          <t>שנת פעילות:</t>
        </is>
      </c>
      <c r="E21" s="13">
        <f>תזרים!H2</f>
        <v/>
      </c>
      <c r="F21" s="14">
        <f>IF(C21="","← בוחרים חודש ושנה בעמוד התזרים, מתחת לכותרת","← שנת התזרים: "&amp;YEAR(תזרים!C62))</f>
        <v/>
      </c>
    </row>
    <row r="22"/>
    <row r="23">
      <c r="B23" s="67" t="inlineStr">
        <is>
          <t>הקובץ מלווה את המשפחה שנים: בסוף כל שנה מעלים את "שנת פעילות" ב-1 (1→2), מעתיקים את השורה החיה בארכיון שבסיכום השנתי — וממשיכים באותו קובץ.</t>
        </is>
      </c>
    </row>
  </sheetData>
  <mergeCells count="18">
    <mergeCell ref="D13:F13"/>
    <mergeCell ref="D11:F11"/>
    <mergeCell ref="D14:F14"/>
    <mergeCell ref="B2:F2"/>
    <mergeCell ref="B5:C5"/>
    <mergeCell ref="D5:E5"/>
    <mergeCell ref="B19:F19"/>
    <mergeCell ref="D12:F12"/>
    <mergeCell ref="D9:F9"/>
    <mergeCell ref="B23:F23"/>
    <mergeCell ref="D4:E4"/>
    <mergeCell ref="B1:F1"/>
    <mergeCell ref="D15:F15"/>
    <mergeCell ref="D7:F7"/>
    <mergeCell ref="D8:F8"/>
    <mergeCell ref="B17:F17"/>
    <mergeCell ref="B4:C4"/>
    <mergeCell ref="D10:F10"/>
  </mergeCells>
  <hyperlinks>
    <hyperlink ref="C7" location="'שאלון'!A1" display="שאלון"/>
    <hyperlink ref="C8" location="'מיפוי'!A1" display="מיפוי"/>
    <hyperlink ref="C9" location="'חובות'!A1" display="חובות"/>
    <hyperlink ref="C10" location="'מאזן'!A1" display="מאזן"/>
    <hyperlink ref="C11" location="'מטרות ויעדים'!A1" display="מטרות ויעדים"/>
    <hyperlink ref="C12" location="'תזרים'!A1" display="תזרים"/>
    <hyperlink ref="C13" location="'סיכום שנתי'!A1" display="סיכום שנתי"/>
    <hyperlink ref="C14" location="'תובנות'!A1" display="תובנות"/>
    <hyperlink ref="C15" location="'יומן ליווי'!A1" display="יומן ליווי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C7A94"/>
    <outlinePr summaryBelow="1" summaryRight="1"/>
    <pageSetUpPr/>
  </sheetPr>
  <dimension ref="A1:I61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30" customWidth="1" style="65" min="2" max="2"/>
    <col width="13" customWidth="1" style="65" min="3" max="4"/>
    <col width="12" customWidth="1" style="65" min="5" max="7"/>
  </cols>
  <sheetData>
    <row r="1" ht="28" customHeight="1" s="65">
      <c r="B1" s="70" t="inlineStr">
        <is>
          <t>שאלון היכרות פיננסי</t>
        </is>
      </c>
      <c r="I1" s="15" t="inlineStr">
        <is>
          <t>🏠 בית</t>
        </is>
      </c>
    </row>
    <row r="2">
      <c r="B2" s="64" t="inlineStr">
        <is>
          <t>ממלאים ביחד בפגישה הראשונה. המטרות שבסוף יזינו אוטומטית את עמוד מטרות ויעדים.</t>
        </is>
      </c>
    </row>
    <row r="3"/>
    <row r="4" ht="20" customHeight="1" s="65">
      <c r="B4" s="76" t="inlineStr">
        <is>
          <t>פרטים אישיים</t>
        </is>
      </c>
    </row>
    <row r="5">
      <c r="C5" s="74">
        <f>IF(שאלון!$C$6="","בן/בת זוג 1",שאלון!$C$6)</f>
        <v/>
      </c>
      <c r="D5" s="74">
        <f>IF(שאלון!$D$6="","בן/בת זוג 2",שאלון!$D$6)</f>
        <v/>
      </c>
      <c r="E5" s="74" t="inlineStr">
        <is>
          <t>הערות</t>
        </is>
      </c>
      <c r="F5" s="62" t="n"/>
      <c r="G5" s="63" t="n"/>
    </row>
    <row r="6">
      <c r="B6" s="90" t="inlineStr">
        <is>
          <t>שם מלא</t>
        </is>
      </c>
      <c r="C6" s="72" t="n"/>
      <c r="D6" s="72" t="n"/>
      <c r="E6" s="72" t="n"/>
      <c r="F6" s="62" t="n"/>
      <c r="G6" s="63" t="n"/>
    </row>
    <row r="7">
      <c r="B7" s="90" t="inlineStr">
        <is>
          <t>גיל</t>
        </is>
      </c>
      <c r="C7" s="72" t="n"/>
      <c r="D7" s="72" t="n"/>
      <c r="E7" s="72" t="n"/>
      <c r="F7" s="62" t="n"/>
      <c r="G7" s="63" t="n"/>
    </row>
    <row r="8">
      <c r="B8" s="90" t="inlineStr">
        <is>
          <t>סטטוס משפחתי</t>
        </is>
      </c>
      <c r="C8" s="72" t="n"/>
      <c r="D8" s="72" t="n"/>
      <c r="E8" s="72" t="n"/>
      <c r="F8" s="62" t="n"/>
      <c r="G8" s="63" t="n"/>
    </row>
    <row r="9">
      <c r="B9" s="90" t="inlineStr">
        <is>
          <t>עיסוק</t>
        </is>
      </c>
      <c r="C9" s="72" t="n"/>
      <c r="D9" s="72" t="n"/>
      <c r="E9" s="72" t="n"/>
      <c r="F9" s="62" t="n"/>
      <c r="G9" s="63" t="n"/>
    </row>
    <row r="10">
      <c r="B10" s="90" t="inlineStr">
        <is>
          <t>אופן העסקה (שכיר / עצמאי / בעל שליטה)</t>
        </is>
      </c>
      <c r="C10" s="72" t="n"/>
      <c r="D10" s="72" t="n"/>
      <c r="E10" s="72" t="n"/>
      <c r="F10" s="62" t="n"/>
      <c r="G10" s="63" t="n"/>
    </row>
    <row r="11">
      <c r="B11" s="90" t="inlineStr">
        <is>
          <t>טלפון / מייל</t>
        </is>
      </c>
      <c r="C11" s="72" t="n"/>
      <c r="D11" s="72" t="n"/>
      <c r="E11" s="72" t="n"/>
      <c r="F11" s="62" t="n"/>
      <c r="G11" s="63" t="n"/>
    </row>
    <row r="12">
      <c r="B12" s="90" t="inlineStr">
        <is>
          <t>מספר ילדים</t>
        </is>
      </c>
      <c r="C12" s="72" t="n"/>
      <c r="D12" s="72" t="n"/>
      <c r="E12" s="72" t="n"/>
      <c r="F12" s="62" t="n"/>
      <c r="G12" s="63" t="n"/>
    </row>
    <row r="13">
      <c r="B13" s="90" t="inlineStr">
        <is>
          <t>גילאי הילדים</t>
        </is>
      </c>
      <c r="C13" s="72" t="n"/>
      <c r="D13" s="72" t="n"/>
      <c r="E13" s="72" t="n"/>
      <c r="F13" s="62" t="n"/>
      <c r="G13" s="63" t="n"/>
    </row>
    <row r="14">
      <c r="B14" s="90" t="inlineStr">
        <is>
          <t>יש עסק עצמאי במשפחה?</t>
        </is>
      </c>
      <c r="C14" s="72" t="n"/>
      <c r="D14" s="67" t="inlineStr">
        <is>
          <t>אם כן — פותחים את לשונית "עסק" (קליק ימני על הלשוניות ← הצג)</t>
        </is>
      </c>
    </row>
    <row r="15"/>
    <row r="16" ht="20" customHeight="1" s="65">
      <c r="B16" s="76" t="inlineStr">
        <is>
          <t>פרטים פיננסיים — הערכה גסה, בלי לפתוח מסמכים</t>
        </is>
      </c>
    </row>
    <row r="17">
      <c r="B17" s="90" t="inlineStr">
        <is>
          <t>דירת המגורים בבעלותכם?</t>
        </is>
      </c>
      <c r="C17" s="73" t="n"/>
      <c r="D17" s="63" t="n"/>
      <c r="E17" s="72" t="n"/>
      <c r="F17" s="62" t="n"/>
      <c r="G17" s="63" t="n"/>
    </row>
    <row r="18">
      <c r="B18" s="90" t="inlineStr">
        <is>
          <t>שווי הדירה להערכתכם</t>
        </is>
      </c>
      <c r="C18" s="73" t="n"/>
      <c r="D18" s="63" t="n"/>
      <c r="E18" s="72" t="n"/>
      <c r="F18" s="62" t="n"/>
      <c r="G18" s="63" t="n"/>
    </row>
    <row r="19">
      <c r="B19" s="90" t="inlineStr">
        <is>
          <t>שווי נכסים פנסיוניים (פנסיה, גמל, השתלמות)</t>
        </is>
      </c>
      <c r="C19" s="73" t="n"/>
      <c r="D19" s="63" t="n"/>
      <c r="E19" s="72" t="n"/>
      <c r="F19" s="62" t="n"/>
      <c r="G19" s="63" t="n"/>
    </row>
    <row r="20">
      <c r="B20" s="90" t="inlineStr">
        <is>
          <t>חסכונות והשקעות (שוק ההון, מזומן, פיקדונות)</t>
        </is>
      </c>
      <c r="C20" s="73" t="n"/>
      <c r="D20" s="63" t="n"/>
      <c r="E20" s="72" t="n"/>
      <c r="F20" s="62" t="n"/>
      <c r="G20" s="63" t="n"/>
    </row>
    <row r="21">
      <c r="B21" s="90" t="inlineStr">
        <is>
          <t>יתרת משכנתא</t>
        </is>
      </c>
      <c r="C21" s="73" t="n"/>
      <c r="D21" s="63" t="n"/>
      <c r="E21" s="72" t="n"/>
      <c r="F21" s="62" t="n"/>
      <c r="G21" s="63" t="n"/>
    </row>
    <row r="22">
      <c r="B22" s="90" t="inlineStr">
        <is>
          <t>יתרת הלוואות אחרות</t>
        </is>
      </c>
      <c r="C22" s="73" t="n"/>
      <c r="D22" s="63" t="n"/>
      <c r="E22" s="72" t="n"/>
      <c r="F22" s="62" t="n"/>
      <c r="G22" s="63" t="n"/>
    </row>
    <row r="23">
      <c r="B23" s="90" t="inlineStr">
        <is>
          <t>הכנסה חודשית נטו — משפחתית</t>
        </is>
      </c>
      <c r="C23" s="73" t="n"/>
      <c r="D23" s="63" t="n"/>
      <c r="E23" s="72" t="n"/>
      <c r="F23" s="62" t="n"/>
      <c r="G23" s="63" t="n"/>
    </row>
    <row r="24">
      <c r="B24" s="90" t="inlineStr">
        <is>
          <t>הוצאות חודשיות — להערכתכם</t>
        </is>
      </c>
      <c r="C24" s="73" t="n"/>
      <c r="D24" s="63" t="n"/>
      <c r="E24" s="72" t="n"/>
      <c r="F24" s="62" t="n"/>
      <c r="G24" s="63" t="n"/>
    </row>
    <row r="25"/>
    <row r="26" ht="20" customHeight="1" s="65">
      <c r="B26" s="76" t="inlineStr">
        <is>
          <t>ידע פיננסי וסיכון</t>
        </is>
      </c>
    </row>
    <row r="27">
      <c r="C27" s="74">
        <f>IF(שאלון!$C$6="","בן/בת זוג 1",שאלון!$C$6)</f>
        <v/>
      </c>
      <c r="D27" s="74">
        <f>IF(שאלון!$D$6="","בן/בת זוג 2",שאלון!$D$6)</f>
        <v/>
      </c>
      <c r="E27" s="74" t="inlineStr">
        <is>
          <t>הערות</t>
        </is>
      </c>
      <c r="F27" s="62" t="n"/>
      <c r="G27" s="63" t="n"/>
    </row>
    <row r="28">
      <c r="B28" s="90" t="inlineStr">
        <is>
          <t>רמת ידע בשוק ההון (מצוין/טוב/בינוני/אין)</t>
        </is>
      </c>
      <c r="C28" s="72" t="n"/>
      <c r="D28" s="72" t="n"/>
      <c r="E28" s="72" t="n"/>
      <c r="F28" s="62" t="n"/>
      <c r="G28" s="63" t="n"/>
    </row>
    <row r="29">
      <c r="B29" s="90" t="inlineStr">
        <is>
          <t>עד כמה אוהבים סיכון?</t>
        </is>
      </c>
      <c r="C29" s="72" t="n"/>
      <c r="D29" s="72" t="n"/>
      <c r="E29" s="72" t="n"/>
      <c r="F29" s="62" t="n"/>
      <c r="G29" s="63" t="n"/>
    </row>
    <row r="30">
      <c r="B30" s="90" t="inlineStr">
        <is>
          <t>איך תרגישו אם ההשקעות יירדו ב-30%?</t>
        </is>
      </c>
      <c r="C30" s="72" t="n"/>
      <c r="D30" s="72" t="n"/>
      <c r="E30" s="72" t="n"/>
      <c r="F30" s="62" t="n"/>
      <c r="G30" s="63" t="n"/>
    </row>
    <row r="31"/>
    <row r="32" ht="20" customHeight="1" s="65">
      <c r="B32" s="76" t="inlineStr">
        <is>
          <t>ביטוחים ומשפחה</t>
        </is>
      </c>
    </row>
    <row r="33">
      <c r="C33" s="74">
        <f>IF(שאלון!$C$6="","בן/בת זוג 1",שאלון!$C$6)</f>
        <v/>
      </c>
      <c r="D33" s="74">
        <f>IF(שאלון!$D$6="","בן/בת זוג 2",שאלון!$D$6)</f>
        <v/>
      </c>
      <c r="E33" s="74" t="inlineStr">
        <is>
          <t>הערות</t>
        </is>
      </c>
      <c r="F33" s="62" t="n"/>
      <c r="G33" s="63" t="n"/>
    </row>
    <row r="34">
      <c r="B34" s="90" t="inlineStr">
        <is>
          <t>ביטוח בריאות פרטי?</t>
        </is>
      </c>
      <c r="C34" s="72" t="n"/>
      <c r="D34" s="72" t="n"/>
      <c r="E34" s="72" t="n"/>
      <c r="F34" s="62" t="n"/>
      <c r="G34" s="63" t="n"/>
    </row>
    <row r="35">
      <c r="B35" s="90" t="inlineStr">
        <is>
          <t>סכום ביטוח חיים קיים (₪)</t>
        </is>
      </c>
      <c r="C35" s="72" t="n"/>
      <c r="D35" s="72" t="n"/>
      <c r="E35" s="72" t="n"/>
      <c r="F35" s="62" t="n"/>
      <c r="G35" s="63" t="n"/>
    </row>
    <row r="36">
      <c r="B36" s="90" t="inlineStr">
        <is>
          <t>בעיה בריאותית שכדאי לדעת עליה?</t>
        </is>
      </c>
      <c r="C36" s="72" t="n"/>
      <c r="D36" s="72" t="n"/>
      <c r="E36" s="72" t="n"/>
      <c r="F36" s="62" t="n"/>
      <c r="G36" s="63" t="n"/>
    </row>
    <row r="37">
      <c r="B37" s="90" t="inlineStr">
        <is>
          <t>קיימת צוואה / ייפוי כוח מתמשך?</t>
        </is>
      </c>
      <c r="C37" s="72" t="n"/>
      <c r="D37" s="72" t="n"/>
      <c r="E37" s="72" t="n"/>
      <c r="F37" s="62" t="n"/>
      <c r="G37" s="63" t="n"/>
    </row>
    <row r="38">
      <c r="B38" s="90" t="inlineStr">
        <is>
          <t>הורה תלוי (או עתיד להיות תלוי) כלכלית?</t>
        </is>
      </c>
      <c r="C38" s="72" t="n"/>
      <c r="D38" s="72" t="n"/>
      <c r="E38" s="72" t="n"/>
      <c r="F38" s="62" t="n"/>
      <c r="G38" s="63" t="n"/>
    </row>
    <row r="39"/>
    <row r="40" ht="20" customHeight="1" s="65">
      <c r="B40" s="75" t="inlineStr">
        <is>
          <t>תכנון וציפיות — השיחה האמיתית</t>
        </is>
      </c>
    </row>
    <row r="41">
      <c r="B41" s="90" t="inlineStr">
        <is>
          <t>מה הכי מטריד אתכם בכסף היום?</t>
        </is>
      </c>
      <c r="C41" s="72" t="n"/>
      <c r="D41" s="62" t="n"/>
      <c r="E41" s="62" t="n"/>
      <c r="F41" s="62" t="n"/>
      <c r="G41" s="63" t="n"/>
    </row>
    <row r="42">
      <c r="B42" s="90" t="inlineStr">
        <is>
          <t>מה בראש סדר העדיפויות בזמן הקרוב?</t>
        </is>
      </c>
      <c r="C42" s="72" t="n"/>
      <c r="D42" s="62" t="n"/>
      <c r="E42" s="62" t="n"/>
      <c r="F42" s="62" t="n"/>
      <c r="G42" s="63" t="n"/>
    </row>
    <row r="43">
      <c r="B43" s="90" t="inlineStr">
        <is>
          <t>נושא דחוף שחייבים לטפל בו לפני הכל?</t>
        </is>
      </c>
      <c r="C43" s="72" t="n"/>
      <c r="D43" s="62" t="n"/>
      <c r="E43" s="62" t="n"/>
      <c r="F43" s="62" t="n"/>
      <c r="G43" s="63" t="n"/>
    </row>
    <row r="44">
      <c r="B44" s="90" t="inlineStr">
        <is>
          <t>מה הציפיות שלכם מהתהליך?</t>
        </is>
      </c>
      <c r="C44" s="72" t="n"/>
      <c r="D44" s="62" t="n"/>
      <c r="E44" s="62" t="n"/>
      <c r="F44" s="62" t="n"/>
      <c r="G44" s="63" t="n"/>
    </row>
    <row r="45">
      <c r="B45" s="90" t="inlineStr">
        <is>
          <t>מה יגרום לכם להרגיש בעוד חצי שנה שההחלטה היתה נכונה?</t>
        </is>
      </c>
      <c r="C45" s="72" t="n"/>
      <c r="D45" s="62" t="n"/>
      <c r="E45" s="62" t="n"/>
      <c r="F45" s="62" t="n"/>
      <c r="G45" s="63" t="n"/>
    </row>
    <row r="46"/>
    <row r="47" ht="20" customHeight="1" s="65">
      <c r="B47" s="75" t="inlineStr">
        <is>
          <t>המטרות הכלכליות הגדולות שלכם</t>
        </is>
      </c>
    </row>
    <row r="48">
      <c r="B48" s="67" t="inlineStr">
        <is>
          <t>מה חשוב לכם שיקרה? כמה זה עולה במחירי היום, ומתי. זה יזין אוטומטית את עמוד מטרות ויעדים.</t>
        </is>
      </c>
    </row>
    <row r="49">
      <c r="B49" s="74" t="inlineStr">
        <is>
          <t>מטרה</t>
        </is>
      </c>
      <c r="C49" s="74" t="inlineStr">
        <is>
          <t>באיזו שנה?</t>
        </is>
      </c>
      <c r="D49" s="74" t="inlineStr">
        <is>
          <t>כמה עולה היום ₪</t>
        </is>
      </c>
    </row>
    <row r="50">
      <c r="B50" s="72" t="inlineStr">
        <is>
          <t>קרן חירום</t>
        </is>
      </c>
      <c r="C50" s="19" t="n"/>
      <c r="D50" s="73" t="n"/>
    </row>
    <row r="51">
      <c r="B51" s="72" t="inlineStr">
        <is>
          <t>רכישת דירה / שדרוג דירה</t>
        </is>
      </c>
      <c r="C51" s="19" t="n"/>
      <c r="D51" s="73" t="n"/>
    </row>
    <row r="52">
      <c r="B52" s="72" t="inlineStr">
        <is>
          <t>לימודים לילדים</t>
        </is>
      </c>
      <c r="C52" s="19" t="n"/>
      <c r="D52" s="73" t="n"/>
    </row>
    <row r="53">
      <c r="B53" s="72" t="inlineStr">
        <is>
          <t>חתונה / עזרה לילדים</t>
        </is>
      </c>
      <c r="C53" s="19" t="n"/>
      <c r="D53" s="73" t="n"/>
    </row>
    <row r="54">
      <c r="B54" s="72" t="inlineStr">
        <is>
          <t>החלפת רכב</t>
        </is>
      </c>
      <c r="C54" s="19" t="n"/>
      <c r="D54" s="73" t="n"/>
    </row>
    <row r="55">
      <c r="B55" s="72" t="inlineStr">
        <is>
          <t>טיול משפחתי גדול</t>
        </is>
      </c>
      <c r="C55" s="19" t="n"/>
      <c r="D55" s="73" t="n"/>
    </row>
    <row r="56">
      <c r="B56" s="72" t="inlineStr">
        <is>
          <t>שיפוץ הבית</t>
        </is>
      </c>
      <c r="C56" s="19" t="n"/>
      <c r="D56" s="73" t="n"/>
    </row>
    <row r="57">
      <c r="B57" s="72" t="inlineStr">
        <is>
          <t>חופש כלכלי</t>
        </is>
      </c>
      <c r="C57" s="19" t="n"/>
      <c r="D57" s="73" t="n"/>
    </row>
    <row r="58">
      <c r="B58" s="72" t="n"/>
      <c r="C58" s="19" t="n"/>
      <c r="D58" s="73" t="n"/>
    </row>
    <row r="59">
      <c r="B59" s="72" t="n"/>
      <c r="C59" s="19" t="n"/>
      <c r="D59" s="73" t="n"/>
    </row>
    <row r="60"/>
    <row r="61">
      <c r="B61" s="67" t="inlineStr">
        <is>
          <t>אין צורך לדייק — זו נקודת פתיחה. בעמוד מטרות ויעדים נחשב ביחד כמה זה דורש בחודש.</t>
        </is>
      </c>
    </row>
  </sheetData>
  <mergeCells count="51">
    <mergeCell ref="B2:G2"/>
    <mergeCell ref="E10:G10"/>
    <mergeCell ref="E28:G28"/>
    <mergeCell ref="E13:G13"/>
    <mergeCell ref="E19:G19"/>
    <mergeCell ref="C24:D24"/>
    <mergeCell ref="C42:G42"/>
    <mergeCell ref="B61:G61"/>
    <mergeCell ref="B1:G1"/>
    <mergeCell ref="E34:G34"/>
    <mergeCell ref="E9:G9"/>
    <mergeCell ref="C45:G45"/>
    <mergeCell ref="E30:G30"/>
    <mergeCell ref="E6:G6"/>
    <mergeCell ref="D14:G14"/>
    <mergeCell ref="C20:D20"/>
    <mergeCell ref="E36:G36"/>
    <mergeCell ref="E11:G11"/>
    <mergeCell ref="E27:G27"/>
    <mergeCell ref="C44:G44"/>
    <mergeCell ref="C41:G41"/>
    <mergeCell ref="B40:G40"/>
    <mergeCell ref="C22:D22"/>
    <mergeCell ref="E7:G7"/>
    <mergeCell ref="C43:G43"/>
    <mergeCell ref="C21:D21"/>
    <mergeCell ref="E22:G22"/>
    <mergeCell ref="E37:G37"/>
    <mergeCell ref="B32:G32"/>
    <mergeCell ref="B4:G4"/>
    <mergeCell ref="E18:G18"/>
    <mergeCell ref="B26:G26"/>
    <mergeCell ref="E12:G12"/>
    <mergeCell ref="E29:G29"/>
    <mergeCell ref="E21:G21"/>
    <mergeCell ref="C17:D17"/>
    <mergeCell ref="C23:D23"/>
    <mergeCell ref="B47:G47"/>
    <mergeCell ref="B16:G16"/>
    <mergeCell ref="E24:G24"/>
    <mergeCell ref="E33:G33"/>
    <mergeCell ref="E5:G5"/>
    <mergeCell ref="E23:G23"/>
    <mergeCell ref="E8:G8"/>
    <mergeCell ref="C19:D19"/>
    <mergeCell ref="E17:G17"/>
    <mergeCell ref="E35:G35"/>
    <mergeCell ref="C18:D18"/>
    <mergeCell ref="B48:G48"/>
    <mergeCell ref="E20:G20"/>
    <mergeCell ref="E38:G38"/>
  </mergeCells>
  <dataValidations count="2">
    <dataValidation sqref="C10:D10" showDropDown="0" showInputMessage="0" showErrorMessage="0" allowBlank="1" type="list">
      <formula1>"שכיר,עצמאי,בעל שליטה,לא עובד/ת"</formula1>
    </dataValidation>
    <dataValidation sqref="C14 C17 C34:D34 C37:D37" showDropDown="0" showInputMessage="0" showErrorMessage="0" allowBlank="1" type="list">
      <formula1>"כן,לא"</formula1>
    </dataValidation>
  </dataValidations>
  <hyperlinks>
    <hyperlink ref="I1" location="'בית'!A1" display="🏠 בית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E8A6B"/>
    <outlinePr summaryBelow="1" summaryRight="1"/>
    <pageSetUpPr/>
  </sheetPr>
  <dimension ref="A1:S65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26" customWidth="1" style="65" min="2" max="2"/>
    <col width="14" customWidth="1" style="65" min="3" max="3"/>
    <col width="13" customWidth="1" style="65" min="4" max="4"/>
    <col width="11" customWidth="1" style="65" min="5" max="5"/>
    <col width="3" customWidth="1" style="65" min="7" max="7"/>
    <col width="24" customWidth="1" style="65" min="10" max="10"/>
    <col width="11" customWidth="1" style="65" min="11" max="12"/>
    <col width="10" customWidth="1" style="65" min="13" max="13"/>
  </cols>
  <sheetData>
    <row r="1" ht="28" customHeight="1" s="65">
      <c r="B1" s="70" t="inlineStr">
        <is>
          <t>מיפוי — 3 החודשים האחרונים</t>
        </is>
      </c>
      <c r="I1" s="15" t="inlineStr">
        <is>
          <t>🏠 בית</t>
        </is>
      </c>
    </row>
    <row r="2">
      <c r="B2" s="64" t="inlineStr">
        <is>
          <t>ממלאים מדפי הבנק והאשראי. הממוצע נהיה הבסיס לתזרים.</t>
        </is>
      </c>
    </row>
    <row r="3" ht="20" customHeight="1" s="65">
      <c r="J3" s="77" t="inlineStr">
        <is>
          <t>מנויים</t>
        </is>
      </c>
    </row>
    <row r="4" ht="20" customHeight="1" s="65">
      <c r="B4" s="75" t="inlineStr">
        <is>
          <t>הכנסות</t>
        </is>
      </c>
      <c r="J4" s="74" t="inlineStr">
        <is>
          <t>שם המנוי</t>
        </is>
      </c>
      <c r="K4" s="74" t="inlineStr">
        <is>
          <t>בית/עסק</t>
        </is>
      </c>
      <c r="L4" s="74" t="inlineStr">
        <is>
          <t>סכום חודשי</t>
        </is>
      </c>
    </row>
    <row r="5">
      <c r="B5" s="74" t="inlineStr">
        <is>
          <t>קטגוריה</t>
        </is>
      </c>
      <c r="C5" s="74" t="inlineStr">
        <is>
          <t>סה"כ 3 חודשים</t>
        </is>
      </c>
      <c r="D5" s="74" t="inlineStr">
        <is>
          <t>ממוצע לחודש</t>
        </is>
      </c>
      <c r="E5" s="74" t="inlineStr">
        <is>
          <t>% מהכנסה</t>
        </is>
      </c>
      <c r="J5" s="72" t="n"/>
      <c r="K5" s="20" t="inlineStr">
        <is>
          <t>בית</t>
        </is>
      </c>
      <c r="L5" s="73" t="n"/>
    </row>
    <row r="6">
      <c r="B6" s="90">
        <f>"משכורת "&amp;IF(שאלון!$C$6="","בן/בת זוג 1",שאלון!$C$6)</f>
        <v/>
      </c>
      <c r="C6" s="73" t="n"/>
      <c r="D6" s="21">
        <f>IF(C6="","",C6/3)</f>
        <v/>
      </c>
      <c r="E6" s="93">
        <f>IF(OR(D6="",D$12=0),"",D6/D$12)</f>
        <v/>
      </c>
      <c r="J6" s="72" t="n"/>
      <c r="K6" s="20" t="inlineStr">
        <is>
          <t>בית</t>
        </is>
      </c>
      <c r="L6" s="73" t="n"/>
    </row>
    <row r="7">
      <c r="B7" s="90">
        <f>"משכורת "&amp;IF(שאלון!$D$6="","בן/בת זוג 2",שאלון!$D$6)</f>
        <v/>
      </c>
      <c r="C7" s="73" t="n"/>
      <c r="D7" s="21">
        <f>IF(C7="","",C7/3)</f>
        <v/>
      </c>
      <c r="E7" s="93">
        <f>IF(OR(D7="",D$12=0),"",D7/D$12)</f>
        <v/>
      </c>
      <c r="J7" s="72" t="n"/>
      <c r="K7" s="20" t="inlineStr">
        <is>
          <t>בית</t>
        </is>
      </c>
      <c r="L7" s="73" t="n"/>
    </row>
    <row r="8">
      <c r="B8" s="90" t="inlineStr">
        <is>
          <t>קצבאות (ילדים)</t>
        </is>
      </c>
      <c r="C8" s="73" t="n"/>
      <c r="D8" s="21">
        <f>IF(C8="","",C8/3)</f>
        <v/>
      </c>
      <c r="E8" s="93">
        <f>IF(OR(D8="",D$12=0),"",D8/D$12)</f>
        <v/>
      </c>
      <c r="J8" s="72" t="n"/>
      <c r="K8" s="20" t="inlineStr">
        <is>
          <t>בית</t>
        </is>
      </c>
      <c r="L8" s="73" t="n"/>
    </row>
    <row r="9">
      <c r="B9" s="90" t="inlineStr">
        <is>
          <t>משכורת / משיכה מהעסק</t>
        </is>
      </c>
      <c r="C9" s="73" t="n"/>
      <c r="D9" s="21">
        <f>IF(C9="","",C9/3)</f>
        <v/>
      </c>
      <c r="E9" s="93">
        <f>IF(OR(D9="",D$12=0),"",D9/D$12)</f>
        <v/>
      </c>
      <c r="J9" s="72" t="n"/>
      <c r="K9" s="20" t="inlineStr">
        <is>
          <t>בית</t>
        </is>
      </c>
      <c r="L9" s="73" t="n"/>
    </row>
    <row r="10">
      <c r="B10" s="90" t="inlineStr">
        <is>
          <t>הכנסה נוספת</t>
        </is>
      </c>
      <c r="C10" s="73" t="n"/>
      <c r="D10" s="21">
        <f>IF(C10="","",C10/3)</f>
        <v/>
      </c>
      <c r="E10" s="93">
        <f>IF(OR(D10="",D$12=0),"",D10/D$12)</f>
        <v/>
      </c>
      <c r="J10" s="72" t="n"/>
      <c r="K10" s="20" t="inlineStr">
        <is>
          <t>בית</t>
        </is>
      </c>
      <c r="L10" s="73" t="n"/>
    </row>
    <row r="11">
      <c r="B11" s="72" t="n"/>
      <c r="C11" s="73" t="n"/>
      <c r="D11" s="21">
        <f>IF(C11="","",C11/3)</f>
        <v/>
      </c>
      <c r="E11" s="93">
        <f>IF(OR(D11="",D$12=0),"",D11/D$12)</f>
        <v/>
      </c>
      <c r="J11" s="72" t="n"/>
      <c r="K11" s="20" t="inlineStr">
        <is>
          <t>בית</t>
        </is>
      </c>
      <c r="L11" s="73" t="n"/>
    </row>
    <row r="12">
      <c r="B12" s="23" t="inlineStr">
        <is>
          <t>סה"כ הכנסות</t>
        </is>
      </c>
      <c r="C12" s="24">
        <f>SUM(C6:C11)</f>
        <v/>
      </c>
      <c r="D12" s="24">
        <f>SUM(D6:D11)</f>
        <v/>
      </c>
      <c r="J12" s="72" t="n"/>
      <c r="K12" s="20" t="inlineStr">
        <is>
          <t>בית</t>
        </is>
      </c>
      <c r="L12" s="73" t="n"/>
    </row>
    <row r="13">
      <c r="J13" s="72" t="n"/>
      <c r="K13" s="20" t="inlineStr">
        <is>
          <t>בית</t>
        </is>
      </c>
      <c r="L13" s="73" t="n"/>
    </row>
    <row r="14" ht="20" customHeight="1" s="65">
      <c r="B14" s="76" t="inlineStr">
        <is>
          <t>הוצאות קבועות</t>
        </is>
      </c>
      <c r="J14" s="72" t="n"/>
      <c r="K14" s="20" t="inlineStr">
        <is>
          <t>בית</t>
        </is>
      </c>
      <c r="L14" s="73" t="n"/>
    </row>
    <row r="15">
      <c r="B15" s="74" t="inlineStr">
        <is>
          <t>קטגוריה</t>
        </is>
      </c>
      <c r="C15" s="74" t="inlineStr">
        <is>
          <t>סה"כ 3 חודשים</t>
        </is>
      </c>
      <c r="D15" s="74" t="inlineStr">
        <is>
          <t>ממוצע לחודש</t>
        </is>
      </c>
      <c r="E15" s="74" t="inlineStr">
        <is>
          <t>% מהכנסה</t>
        </is>
      </c>
      <c r="J15" s="72" t="n"/>
      <c r="K15" s="20" t="inlineStr">
        <is>
          <t>בית</t>
        </is>
      </c>
      <c r="L15" s="73" t="n"/>
    </row>
    <row r="16">
      <c r="B16" s="90" t="inlineStr">
        <is>
          <t>משכנתא / שכר דירה</t>
        </is>
      </c>
      <c r="C16" s="110">
        <f>IFERROR(חובות!C40*3,0)</f>
        <v/>
      </c>
      <c r="D16" s="21">
        <f>IF(C16="","",C16/3)</f>
        <v/>
      </c>
      <c r="E16" s="111" t="inlineStr">
        <is>
          <t>← נמשך מדף חובות (ניתן לדרוס)</t>
        </is>
      </c>
      <c r="J16" s="72" t="n"/>
      <c r="K16" s="20" t="inlineStr">
        <is>
          <t>בית</t>
        </is>
      </c>
      <c r="L16" s="73" t="n"/>
    </row>
    <row r="17">
      <c r="B17" s="90" t="inlineStr">
        <is>
          <t>ארנונה</t>
        </is>
      </c>
      <c r="C17" s="112" t="n"/>
      <c r="D17" s="21">
        <f>IF(C17="","",C17/3)</f>
        <v/>
      </c>
      <c r="E17" s="93">
        <f>IF(OR(D17="",D$12=0),"",D17/D$12)</f>
        <v/>
      </c>
      <c r="J17" s="23" t="inlineStr">
        <is>
          <t>סה"כ בית (זורם לתזרים)</t>
        </is>
      </c>
      <c r="L17" s="24">
        <f>SUMIF(K5:K16,"בית",L5:L16)</f>
        <v/>
      </c>
    </row>
    <row r="18">
      <c r="B18" s="90" t="inlineStr">
        <is>
          <t>חשמל</t>
        </is>
      </c>
      <c r="C18" s="73" t="n"/>
      <c r="D18" s="21">
        <f>IF(C18="","",C18/3)</f>
        <v/>
      </c>
      <c r="E18" s="93">
        <f>IF(OR(D18="",D$12=0),"",D18/D$12)</f>
        <v/>
      </c>
      <c r="J18" s="23" t="inlineStr">
        <is>
          <t>מזה עסק</t>
        </is>
      </c>
      <c r="L18" s="24">
        <f>SUMIF(K5:K16,"עסק",L5:L16)</f>
        <v/>
      </c>
    </row>
    <row r="19">
      <c r="B19" s="90" t="inlineStr">
        <is>
          <t>מים</t>
        </is>
      </c>
      <c r="C19" s="73" t="n"/>
      <c r="D19" s="21">
        <f>IF(C19="","",C19/3)</f>
        <v/>
      </c>
      <c r="E19" s="93">
        <f>IF(OR(D19="",D$12=0),"",D19/D$12)</f>
        <v/>
      </c>
    </row>
    <row r="20" ht="20" customHeight="1" s="65">
      <c r="B20" s="90" t="inlineStr">
        <is>
          <t>גז</t>
        </is>
      </c>
      <c r="C20" s="73" t="n"/>
      <c r="D20" s="21">
        <f>IF(C20="","",C20/3)</f>
        <v/>
      </c>
      <c r="E20" s="93">
        <f>IF(OR(D20="",D$12=0),"",D20/D$12)</f>
        <v/>
      </c>
      <c r="J20" s="77" t="inlineStr">
        <is>
          <t>ביטוחים</t>
        </is>
      </c>
    </row>
    <row r="21">
      <c r="B21" s="90" t="inlineStr">
        <is>
          <t>ועד בית</t>
        </is>
      </c>
      <c r="C21" s="73" t="n"/>
      <c r="D21" s="21">
        <f>IF(C21="","",C21/3)</f>
        <v/>
      </c>
      <c r="E21" s="93">
        <f>IF(OR(D21="",D$12=0),"",D21/D$12)</f>
        <v/>
      </c>
      <c r="J21" s="74" t="inlineStr">
        <is>
          <t>שם הביטוח</t>
        </is>
      </c>
      <c r="K21" s="74" t="inlineStr">
        <is>
          <t>סכום חודשי</t>
        </is>
      </c>
    </row>
    <row r="22">
      <c r="B22" s="90" t="inlineStr">
        <is>
          <t>תקשורת (סלולר, אינטרנט, טלוויזיה)</t>
        </is>
      </c>
      <c r="C22" s="73" t="n"/>
      <c r="D22" s="21">
        <f>IF(C22="","",C22/3)</f>
        <v/>
      </c>
      <c r="E22" s="93">
        <f>IF(OR(D22="",D$12=0),"",D22/D$12)</f>
        <v/>
      </c>
      <c r="J22" s="90">
        <f>"ביטוח חיים — "&amp;IF(שאלון!C6="","בן/בת זוג 1",שאלון!C6)</f>
        <v/>
      </c>
      <c r="K22" s="73" t="n"/>
    </row>
    <row r="23">
      <c r="B23" s="90" t="inlineStr">
        <is>
          <t>ביטוחים</t>
        </is>
      </c>
      <c r="C23" s="73" t="n"/>
      <c r="D23" s="21">
        <f>IF(C23="","",C23/3)</f>
        <v/>
      </c>
      <c r="E23" s="93">
        <f>IF(OR(D23="",D$12=0),"",D23/D$12)</f>
        <v/>
      </c>
      <c r="J23" s="90">
        <f>"ביטוח חיים — "&amp;IF(שאלון!D6="","בן/בת זוג 2",שאלון!D6)</f>
        <v/>
      </c>
      <c r="K23" s="73" t="n"/>
    </row>
    <row r="24">
      <c r="B24" s="90" t="inlineStr">
        <is>
          <t>מנויים</t>
        </is>
      </c>
      <c r="C24" s="73" t="n"/>
      <c r="D24" s="21">
        <f>IF(C24="","",C24/3)</f>
        <v/>
      </c>
      <c r="E24" s="93">
        <f>IF(OR(D24="",D$12=0),"",D24/D$12)</f>
        <v/>
      </c>
      <c r="J24" s="90" t="inlineStr">
        <is>
          <t>ביטוח בריאות</t>
        </is>
      </c>
      <c r="K24" s="73" t="n"/>
    </row>
    <row r="25">
      <c r="B25" s="90" t="inlineStr">
        <is>
          <t>חינוך וחוגים</t>
        </is>
      </c>
      <c r="C25" s="73" t="n"/>
      <c r="D25" s="21">
        <f>IF(C25="","",C25/3)</f>
        <v/>
      </c>
      <c r="E25" s="93">
        <f>IF(OR(D25="",D$12=0),"",D25/D$12)</f>
        <v/>
      </c>
      <c r="J25" s="90" t="inlineStr">
        <is>
          <t>אובדן כושר עבודה</t>
        </is>
      </c>
      <c r="K25" s="73" t="n"/>
    </row>
    <row r="26">
      <c r="B26" s="90" t="inlineStr">
        <is>
          <t>בריאות (קבוע)</t>
        </is>
      </c>
      <c r="C26" s="73" t="n"/>
      <c r="D26" s="21">
        <f>IF(C26="","",C26/3)</f>
        <v/>
      </c>
      <c r="E26" s="93">
        <f>IF(OR(D26="",D$12=0),"",D26/D$12)</f>
        <v/>
      </c>
      <c r="J26" s="90" t="inlineStr">
        <is>
          <t>ביטוח סיעודי</t>
        </is>
      </c>
      <c r="K26" s="73" t="n"/>
    </row>
    <row r="27">
      <c r="B27" s="90" t="inlineStr">
        <is>
          <t>הפקדה לחיסכון</t>
        </is>
      </c>
      <c r="C27" s="73" t="n"/>
      <c r="D27" s="21">
        <f>IF(C27="","",C27/3)</f>
        <v/>
      </c>
      <c r="E27" s="93">
        <f>IF(OR(D27="",D$12=0),"",D27/D$12)</f>
        <v/>
      </c>
      <c r="J27" s="90" t="inlineStr">
        <is>
          <t>ביטוח שיניים</t>
        </is>
      </c>
      <c r="K27" s="73" t="n"/>
    </row>
    <row r="28">
      <c r="B28" s="90" t="inlineStr">
        <is>
          <t>החזרי הלוואות</t>
        </is>
      </c>
      <c r="C28" s="73" t="n"/>
      <c r="D28" s="21">
        <f>IF(C28="","",C28/3)</f>
        <v/>
      </c>
      <c r="E28" s="93">
        <f>IF(OR(D28="",D$12=0),"",D28/D$12)</f>
        <v/>
      </c>
      <c r="J28" s="90" t="inlineStr">
        <is>
          <t>ביטוח דירה / מבנה</t>
        </is>
      </c>
      <c r="K28" s="73" t="n"/>
    </row>
    <row r="29">
      <c r="B29" s="90" t="inlineStr">
        <is>
          <t>עסקאות בתשלומים</t>
        </is>
      </c>
      <c r="C29" s="73" t="n"/>
      <c r="D29" s="21">
        <f>IF(C29="","",C29/3)</f>
        <v/>
      </c>
      <c r="E29" s="93">
        <f>IF(OR(D29="",D$12=0),"",D29/D$12)</f>
        <v/>
      </c>
      <c r="J29" s="72" t="n"/>
      <c r="K29" s="73" t="n"/>
    </row>
    <row r="30">
      <c r="B30" s="90" t="inlineStr">
        <is>
          <t>הוצאות שנתיות (חלוקה חודשית)</t>
        </is>
      </c>
      <c r="C30" s="73" t="n"/>
      <c r="D30" s="21">
        <f>IF(C30="","",C30/3)</f>
        <v/>
      </c>
      <c r="E30" s="93">
        <f>IF(OR(D30="",D$12=0),"",D30/D$12)</f>
        <v/>
      </c>
      <c r="J30" s="23" t="inlineStr">
        <is>
          <t>סה"כ ביטוחים</t>
        </is>
      </c>
      <c r="K30" s="24">
        <f>SUM(K22:K29)</f>
        <v/>
      </c>
    </row>
    <row r="31">
      <c r="B31" s="72" t="n"/>
      <c r="C31" s="73" t="n"/>
      <c r="D31" s="21">
        <f>IF(C31="","",C31/3)</f>
        <v/>
      </c>
      <c r="E31" s="93">
        <f>IF(OR(D31="",D$12=0),"",D31/D$12)</f>
        <v/>
      </c>
    </row>
    <row r="32" ht="20" customHeight="1" s="65">
      <c r="B32" s="72" t="n"/>
      <c r="C32" s="73" t="n"/>
      <c r="D32" s="21">
        <f>IF(C32="","",C32/3)</f>
        <v/>
      </c>
      <c r="E32" s="93">
        <f>IF(OR(D32="",D$12=0),"",D32/D$12)</f>
        <v/>
      </c>
      <c r="J32" s="77" t="inlineStr">
        <is>
          <t>הוצאות שנתיות (מתחלק ל-12)</t>
        </is>
      </c>
    </row>
    <row r="33">
      <c r="B33" s="72" t="n"/>
      <c r="C33" s="73" t="n"/>
      <c r="D33" s="21">
        <f>IF(C33="","",C33/3)</f>
        <v/>
      </c>
      <c r="E33" s="93">
        <f>IF(OR(D33="",D$12=0),"",D33/D$12)</f>
        <v/>
      </c>
      <c r="J33" s="74" t="inlineStr">
        <is>
          <t>שם</t>
        </is>
      </c>
      <c r="K33" s="74" t="inlineStr">
        <is>
          <t>סכום שנתי</t>
        </is>
      </c>
      <c r="L33" s="74" t="inlineStr">
        <is>
          <t>לחודש</t>
        </is>
      </c>
    </row>
    <row r="34">
      <c r="B34" s="23" t="inlineStr">
        <is>
          <t>סה"כ קבועות</t>
        </is>
      </c>
      <c r="C34" s="24">
        <f>SUM(C16:C33)</f>
        <v/>
      </c>
      <c r="D34" s="24">
        <f>SUM(D16:D33)</f>
        <v/>
      </c>
      <c r="E34" s="25">
        <f>IF(D$12=0,"",D34/D$12)</f>
        <v/>
      </c>
      <c r="J34" s="90" t="inlineStr">
        <is>
          <t>אגרה שנתית + טסט — רכב 1</t>
        </is>
      </c>
      <c r="K34" s="73" t="n"/>
      <c r="L34" s="21">
        <f>IFERROR(K34/12,0)</f>
        <v/>
      </c>
    </row>
    <row r="35">
      <c r="J35" s="90" t="inlineStr">
        <is>
          <t>אגרה שנתית + טסט — רכב 2</t>
        </is>
      </c>
      <c r="K35" s="73" t="n"/>
      <c r="L35" s="21">
        <f>IFERROR(K35/12,0)</f>
        <v/>
      </c>
    </row>
    <row r="36" ht="20" customHeight="1" s="65">
      <c r="B36" s="76" t="inlineStr">
        <is>
          <t>הוצאות משתנות</t>
        </is>
      </c>
      <c r="J36" s="90" t="inlineStr">
        <is>
          <t>ביטוח וטיפולי רכב</t>
        </is>
      </c>
      <c r="K36" s="73" t="n"/>
      <c r="L36" s="21">
        <f>IFERROR(K36/12,0)</f>
        <v/>
      </c>
    </row>
    <row r="37">
      <c r="B37" s="74" t="inlineStr">
        <is>
          <t>קטגוריה</t>
        </is>
      </c>
      <c r="C37" s="74" t="inlineStr">
        <is>
          <t>סה"כ 3 חודשים</t>
        </is>
      </c>
      <c r="D37" s="74" t="inlineStr">
        <is>
          <t>ממוצע לחודש</t>
        </is>
      </c>
      <c r="E37" s="74" t="inlineStr">
        <is>
          <t>% מהכנסה</t>
        </is>
      </c>
      <c r="J37" s="90" t="inlineStr">
        <is>
          <t>נופש משפחתי</t>
        </is>
      </c>
      <c r="K37" s="73" t="n"/>
      <c r="L37" s="21">
        <f>IFERROR(K37/12,0)</f>
        <v/>
      </c>
    </row>
    <row r="38">
      <c r="B38" s="90" t="inlineStr">
        <is>
          <t>מזון לבית (סופר)</t>
        </is>
      </c>
      <c r="C38" s="73" t="n"/>
      <c r="D38" s="21">
        <f>IF(C38="","",C38/3)</f>
        <v/>
      </c>
      <c r="E38" s="93">
        <f>IF(OR(D38="",D$12=0),"",D38/D$12)</f>
        <v/>
      </c>
      <c r="J38" s="90" t="inlineStr">
        <is>
          <t>מתנות וחגים</t>
        </is>
      </c>
      <c r="K38" s="73" t="n"/>
      <c r="L38" s="21">
        <f>IFERROR(K38/12,0)</f>
        <v/>
      </c>
    </row>
    <row r="39">
      <c r="B39" s="90" t="inlineStr">
        <is>
          <t>אוכל בחוץ ובילויים</t>
        </is>
      </c>
      <c r="C39" s="73" t="n"/>
      <c r="D39" s="21">
        <f>IF(C39="","",C39/3)</f>
        <v/>
      </c>
      <c r="E39" s="93">
        <f>IF(OR(D39="",D$12=0),"",D39/D$12)</f>
        <v/>
      </c>
      <c r="J39" s="72" t="n"/>
      <c r="K39" s="73" t="n"/>
      <c r="L39" s="21">
        <f>IFERROR(K39/12,0)</f>
        <v/>
      </c>
    </row>
    <row r="40">
      <c r="B40" s="90" t="inlineStr">
        <is>
          <t>תחבורה (דלק, חניה, תחב"צ)</t>
        </is>
      </c>
      <c r="C40" s="73" t="n"/>
      <c r="D40" s="21">
        <f>IF(C40="","",C40/3)</f>
        <v/>
      </c>
      <c r="E40" s="93">
        <f>IF(OR(D40="",D$12=0),"",D40/D$12)</f>
        <v/>
      </c>
      <c r="J40" s="23" t="inlineStr">
        <is>
          <t>סה"כ לחודש</t>
        </is>
      </c>
      <c r="L40" s="24">
        <f>SUM(L34:L39)</f>
        <v/>
      </c>
    </row>
    <row r="41">
      <c r="B41" s="90" t="inlineStr">
        <is>
          <t>סופר פארם</t>
        </is>
      </c>
      <c r="C41" s="73" t="n"/>
      <c r="D41" s="21">
        <f>IF(C41="","",C41/3)</f>
        <v/>
      </c>
      <c r="E41" s="93">
        <f>IF(OR(D41="",D$12=0),"",D41/D$12)</f>
        <v/>
      </c>
    </row>
    <row r="42">
      <c r="B42" s="90" t="inlineStr">
        <is>
          <t>בריאות</t>
        </is>
      </c>
      <c r="C42" s="73" t="n"/>
      <c r="D42" s="21">
        <f>IF(C42="","",C42/3)</f>
        <v/>
      </c>
      <c r="E42" s="93">
        <f>IF(OR(D42="",D$12=0),"",D42/D$12)</f>
        <v/>
      </c>
      <c r="J42" s="67" t="inlineStr">
        <is>
          <t>ביטלו מנוי? מוחקים את השורה. מנויי עסק — להוצאות העסק.</t>
        </is>
      </c>
    </row>
    <row r="43">
      <c r="B43" s="90" t="inlineStr">
        <is>
          <t>ביגוד והנעלה</t>
        </is>
      </c>
      <c r="C43" s="73" t="n"/>
      <c r="D43" s="21">
        <f>IF(C43="","",C43/3)</f>
        <v/>
      </c>
      <c r="E43" s="93">
        <f>IF(OR(D43="",D$12=0),"",D43/D$12)</f>
        <v/>
      </c>
    </row>
    <row r="44" ht="20" customHeight="1" s="65">
      <c r="B44" s="90" t="inlineStr">
        <is>
          <t>מתנות לאירועים ולשמחות</t>
        </is>
      </c>
      <c r="C44" s="73" t="n"/>
      <c r="D44" s="21">
        <f>IF(C44="","",C44/3)</f>
        <v/>
      </c>
      <c r="E44" s="93">
        <f>IF(OR(D44="",D$12=0),"",D44/D$12)</f>
        <v/>
      </c>
      <c r="J44" s="77" t="inlineStr">
        <is>
          <t>חינוך — חוגים, קייטנות, לימודים</t>
        </is>
      </c>
    </row>
    <row r="45">
      <c r="B45" s="90" t="inlineStr">
        <is>
          <t>בייביסיטר או עזרה</t>
        </is>
      </c>
      <c r="C45" s="73" t="n"/>
      <c r="D45" s="21">
        <f>IF(C45="","",C45/3)</f>
        <v/>
      </c>
      <c r="E45" s="93">
        <f>IF(OR(D45="",D$12=0),"",D45/D$12)</f>
        <v/>
      </c>
      <c r="J45" s="74" t="inlineStr">
        <is>
          <t>שם</t>
        </is>
      </c>
      <c r="K45" s="74" t="inlineStr">
        <is>
          <t>סכום חודשי</t>
        </is>
      </c>
    </row>
    <row r="46">
      <c r="B46" s="90" t="inlineStr">
        <is>
          <t>בעלי חיים</t>
        </is>
      </c>
      <c r="C46" s="73" t="n"/>
      <c r="D46" s="21">
        <f>IF(C46="","",C46/3)</f>
        <v/>
      </c>
      <c r="E46" s="93">
        <f>IF(OR(D46="",D$12=0),"",D46/D$12)</f>
        <v/>
      </c>
      <c r="J46" s="90" t="inlineStr">
        <is>
          <t>גן / צהרון / מעון</t>
        </is>
      </c>
      <c r="K46" s="73" t="n"/>
    </row>
    <row r="47">
      <c r="B47" s="90" t="inlineStr">
        <is>
          <t>סיגריות</t>
        </is>
      </c>
      <c r="C47" s="73" t="n"/>
      <c r="D47" s="21">
        <f>IF(C47="","",C47/3)</f>
        <v/>
      </c>
      <c r="E47" s="93">
        <f>IF(OR(D47="",D$12=0),"",D47/D$12)</f>
        <v/>
      </c>
      <c r="J47" s="90" t="inlineStr">
        <is>
          <t>חוג 1</t>
        </is>
      </c>
      <c r="K47" s="73" t="n"/>
    </row>
    <row r="48">
      <c r="B48" s="90" t="inlineStr">
        <is>
          <t>דמי כיס</t>
        </is>
      </c>
      <c r="C48" s="73" t="n"/>
      <c r="D48" s="21">
        <f>IF(C48="","",C48/3)</f>
        <v/>
      </c>
      <c r="E48" s="93">
        <f>IF(OR(D48="",D$12=0),"",D48/D$12)</f>
        <v/>
      </c>
      <c r="J48" s="90" t="inlineStr">
        <is>
          <t>חוג 2</t>
        </is>
      </c>
      <c r="K48" s="73" t="n"/>
    </row>
    <row r="49">
      <c r="B49" s="90" t="inlineStr">
        <is>
          <t>תחביבים</t>
        </is>
      </c>
      <c r="C49" s="73" t="n"/>
      <c r="D49" s="21">
        <f>IF(C49="","",C49/3)</f>
        <v/>
      </c>
      <c r="E49" s="93">
        <f>IF(OR(D49="",D$12=0),"",D49/D$12)</f>
        <v/>
      </c>
      <c r="J49" s="90" t="inlineStr">
        <is>
          <t>שיעורים פרטיים</t>
        </is>
      </c>
      <c r="K49" s="73" t="n"/>
    </row>
    <row r="50">
      <c r="B50" s="90" t="inlineStr">
        <is>
          <t>שונות</t>
        </is>
      </c>
      <c r="C50" s="73" t="n"/>
      <c r="D50" s="21">
        <f>IF(C50="","",C50/3)</f>
        <v/>
      </c>
      <c r="E50" s="93">
        <f>IF(OR(D50="",D$12=0),"",D50/D$12)</f>
        <v/>
      </c>
      <c r="J50" s="90" t="inlineStr">
        <is>
          <t>קייטנות (ממוצע חודשי)</t>
        </is>
      </c>
      <c r="K50" s="73" t="n"/>
    </row>
    <row r="51">
      <c r="B51" s="90" t="inlineStr">
        <is>
          <t>חופשה או טיול (נקודתי)</t>
        </is>
      </c>
      <c r="C51" s="73" t="n"/>
      <c r="D51" s="21">
        <f>IF(C51="","",C51/3)</f>
        <v/>
      </c>
      <c r="E51" s="93">
        <f>IF(OR(D51="",D$12=0),"",D51/D$12)</f>
        <v/>
      </c>
      <c r="J51" s="90" t="inlineStr">
        <is>
          <t>לימודים / שכר לימוד</t>
        </is>
      </c>
      <c r="K51" s="73" t="n"/>
    </row>
    <row r="52">
      <c r="B52" s="72" t="n"/>
      <c r="C52" s="73" t="n"/>
      <c r="D52" s="21">
        <f>IF(C52="","",C52/3)</f>
        <v/>
      </c>
      <c r="E52" s="93">
        <f>IF(OR(D52="",D$12=0),"",D52/D$12)</f>
        <v/>
      </c>
      <c r="J52" s="72" t="n"/>
      <c r="K52" s="73" t="n"/>
    </row>
    <row r="53">
      <c r="B53" s="72" t="n"/>
      <c r="C53" s="73" t="n"/>
      <c r="D53" s="21">
        <f>IF(C53="","",C53/3)</f>
        <v/>
      </c>
      <c r="E53" s="93">
        <f>IF(OR(D53="",D$12=0),"",D53/D$12)</f>
        <v/>
      </c>
      <c r="J53" s="72" t="n"/>
      <c r="K53" s="73" t="n"/>
    </row>
    <row r="54">
      <c r="B54" s="72" t="n"/>
      <c r="C54" s="73" t="n"/>
      <c r="D54" s="21">
        <f>IF(C54="","",C54/3)</f>
        <v/>
      </c>
      <c r="E54" s="93">
        <f>IF(OR(D54="",D$12=0),"",D54/D$12)</f>
        <v/>
      </c>
      <c r="J54" s="23" t="inlineStr">
        <is>
          <t>סה"כ חינוך (זורם לתזרים)</t>
        </is>
      </c>
      <c r="K54" s="24">
        <f>SUM(K46:K53)</f>
        <v/>
      </c>
    </row>
    <row r="55">
      <c r="B55" s="23" t="inlineStr">
        <is>
          <t>סה"כ משתנות</t>
        </is>
      </c>
      <c r="C55" s="24">
        <f>SUM(C38:C54)</f>
        <v/>
      </c>
      <c r="D55" s="24">
        <f>SUM(D38:D54)</f>
        <v/>
      </c>
      <c r="E55" s="25">
        <f>IF(D$12=0,"",D55/D$12)</f>
        <v/>
      </c>
    </row>
    <row r="56"/>
    <row r="57">
      <c r="B57" s="23" t="inlineStr">
        <is>
          <t>סה"כ הוצאות</t>
        </is>
      </c>
      <c r="C57" s="24">
        <f>C34+C55</f>
        <v/>
      </c>
      <c r="D57" s="24">
        <f>D34+D55</f>
        <v/>
      </c>
    </row>
    <row r="58"/>
    <row r="59">
      <c r="B59" s="23" t="inlineStr">
        <is>
          <t>תזרים נטו — מה נשאר</t>
        </is>
      </c>
      <c r="C59" s="26">
        <f>IF(C12=0,"",C12-C57)</f>
        <v/>
      </c>
      <c r="D59" s="26">
        <f>IF(D12=0,"",D12-D57)</f>
        <v/>
      </c>
    </row>
    <row r="60">
      <c r="B60" s="67" t="inlineStr">
        <is>
          <t>מזינים את הסכום המצטבר של 3 חודשים — הממוצע החודשי מחושב לבד, והוא הבסיס לתזרים.</t>
        </is>
      </c>
    </row>
    <row r="61"/>
    <row r="62">
      <c r="R62" s="27" t="inlineStr">
        <is>
          <t>הכנסות</t>
        </is>
      </c>
      <c r="S62" s="28">
        <f>D12</f>
        <v/>
      </c>
    </row>
    <row r="63">
      <c r="R63" s="27" t="inlineStr">
        <is>
          <t>קבועות</t>
        </is>
      </c>
      <c r="S63" s="28">
        <f>D34</f>
        <v/>
      </c>
    </row>
    <row r="64">
      <c r="R64" s="27" t="inlineStr">
        <is>
          <t>משתנות</t>
        </is>
      </c>
      <c r="S64" s="28">
        <f>D55</f>
        <v/>
      </c>
    </row>
    <row r="65">
      <c r="R65" s="27" t="inlineStr">
        <is>
          <t>נשאר</t>
        </is>
      </c>
      <c r="S65" s="28">
        <f>MAX(0,IFERROR(D59,0))</f>
        <v/>
      </c>
    </row>
  </sheetData>
  <mergeCells count="11">
    <mergeCell ref="B36:H36"/>
    <mergeCell ref="B14:H14"/>
    <mergeCell ref="J42:M42"/>
    <mergeCell ref="B1:H1"/>
    <mergeCell ref="B4:H4"/>
    <mergeCell ref="J3:M3"/>
    <mergeCell ref="J20:M20"/>
    <mergeCell ref="B2:H2"/>
    <mergeCell ref="J44:M44"/>
    <mergeCell ref="J32:M32"/>
    <mergeCell ref="B60:H60"/>
  </mergeCells>
  <dataValidations count="1">
    <dataValidation sqref="K5:K16" showDropDown="0" showInputMessage="0" showErrorMessage="0" allowBlank="1" type="list">
      <formula1>"בית,עסק"</formula1>
    </dataValidation>
  </dataValidations>
  <hyperlinks>
    <hyperlink ref="I1" location="'בית'!A1" display="🏠 בית"/>
  </hyperlink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4E8A6B"/>
    <outlinePr summaryBelow="1" summaryRight="1"/>
    <pageSetUpPr/>
  </sheetPr>
  <dimension ref="A1:K52"/>
  <sheetViews>
    <sheetView rightToLeft="1" tabSelected="1" topLeftCell="A17" workbookViewId="0">
      <selection activeCell="E13" sqref="E13"/>
    </sheetView>
  </sheetViews>
  <sheetFormatPr baseColWidth="10" defaultColWidth="8.83203125" defaultRowHeight="14"/>
  <cols>
    <col width="2" customWidth="1" style="65" min="1" max="1"/>
    <col width="24" customWidth="1" style="65" min="2" max="2"/>
    <col width="13" customWidth="1" style="65" min="3" max="3"/>
    <col width="12" customWidth="1" style="65" min="4" max="5"/>
    <col width="9" customWidth="1" style="65" min="6" max="7"/>
    <col width="3" customWidth="1" style="65" min="8" max="8"/>
    <col width="24" customWidth="1" style="65" min="9" max="9"/>
    <col width="13" customWidth="1" style="65" min="10" max="10"/>
    <col width="10" customWidth="1" style="65" min="11" max="11"/>
  </cols>
  <sheetData>
    <row r="1" ht="28" customHeight="1" s="65">
      <c r="B1" s="70" t="inlineStr">
        <is>
          <t>חובות ותשלומים</t>
        </is>
      </c>
      <c r="I1" s="15" t="inlineStr">
        <is>
          <t>🏠 בית</t>
        </is>
      </c>
    </row>
    <row r="2">
      <c r="B2" s="64" t="inlineStr">
        <is>
          <t>פעם אחת כאן — וזה זורם לתזרים לבד.</t>
        </is>
      </c>
    </row>
    <row r="3"/>
    <row r="4" ht="20" customHeight="1" s="65">
      <c r="B4" s="78" t="inlineStr">
        <is>
          <t>הלוואות</t>
        </is>
      </c>
      <c r="I4" s="76" t="inlineStr">
        <is>
          <t>מחשבון איחוד הלוואות</t>
        </is>
      </c>
    </row>
    <row r="5" ht="28" customHeight="1" s="65">
      <c r="B5" s="74" t="inlineStr">
        <is>
          <t>שם ההלוואה / הבנק</t>
        </is>
      </c>
      <c r="C5" s="74" t="inlineStr">
        <is>
          <t>יתרת קרן</t>
        </is>
      </c>
      <c r="D5" s="74" t="inlineStr">
        <is>
          <t>ריבית שנתית</t>
        </is>
      </c>
      <c r="E5" s="74" t="inlineStr">
        <is>
          <t>החזר חודשי</t>
        </is>
      </c>
      <c r="F5" s="74" t="inlineStr">
        <is>
          <t>חודשים שנותרו</t>
        </is>
      </c>
      <c r="I5" s="90" t="inlineStr">
        <is>
          <t>יתרת חוב לאיחוד</t>
        </is>
      </c>
      <c r="J5" s="21">
        <f>C16</f>
        <v/>
      </c>
    </row>
    <row r="6">
      <c r="B6" s="72" t="n"/>
      <c r="C6" s="73" t="n"/>
      <c r="D6" s="113" t="n"/>
      <c r="E6" s="73" t="n"/>
      <c r="F6" s="19" t="n"/>
      <c r="I6" s="90" t="inlineStr">
        <is>
          <t>החזר חודשי נוכחי</t>
        </is>
      </c>
      <c r="J6" s="21">
        <f>E16</f>
        <v/>
      </c>
    </row>
    <row r="7">
      <c r="B7" s="72" t="n"/>
      <c r="C7" s="73" t="n"/>
      <c r="D7" s="113" t="n"/>
      <c r="E7" s="73" t="n"/>
      <c r="F7" s="19" t="n"/>
      <c r="I7" s="90" t="inlineStr">
        <is>
          <t>ריבית שנתית חדשה</t>
        </is>
      </c>
      <c r="J7" s="113" t="n">
        <v>0.08</v>
      </c>
    </row>
    <row r="8">
      <c r="B8" s="72" t="n"/>
      <c r="C8" s="73" t="n"/>
      <c r="D8" s="113" t="n"/>
      <c r="E8" s="73" t="n"/>
      <c r="F8" s="19" t="n"/>
      <c r="I8" s="90" t="inlineStr">
        <is>
          <t>תקופה חדשה (חודשים)</t>
        </is>
      </c>
      <c r="J8" s="19" t="n">
        <v>60</v>
      </c>
    </row>
    <row r="9">
      <c r="B9" s="72" t="n"/>
      <c r="C9" s="73" t="n"/>
      <c r="D9" s="113" t="n"/>
      <c r="E9" s="73" t="n"/>
      <c r="F9" s="19" t="n"/>
      <c r="I9" s="90" t="inlineStr">
        <is>
          <t>החזר חודשי חדש</t>
        </is>
      </c>
      <c r="J9" s="24">
        <f>IFERROR(-PMT(J7/12,J8,J5),0)</f>
        <v/>
      </c>
    </row>
    <row r="10">
      <c r="B10" s="72" t="n"/>
      <c r="C10" s="73" t="n"/>
      <c r="D10" s="113" t="n"/>
      <c r="E10" s="73" t="n"/>
      <c r="F10" s="19" t="n"/>
      <c r="I10" s="90" t="inlineStr">
        <is>
          <t>שינוי בהחזר (+ = חיסכון)</t>
        </is>
      </c>
      <c r="J10" s="24">
        <f>IFERROR(J6-J9,0)</f>
        <v/>
      </c>
    </row>
    <row r="11">
      <c r="B11" s="72" t="n"/>
      <c r="C11" s="73" t="n"/>
      <c r="D11" s="113" t="n"/>
      <c r="E11" s="73" t="n"/>
      <c r="F11" s="19" t="n"/>
      <c r="I11" s="90" t="inlineStr">
        <is>
          <t>סה"כ שישולם</t>
        </is>
      </c>
      <c r="J11" s="21">
        <f>IFERROR(J9*J8,0)</f>
        <v/>
      </c>
    </row>
    <row r="12">
      <c r="B12" s="72" t="n"/>
      <c r="C12" s="73" t="n"/>
      <c r="D12" s="113" t="n"/>
      <c r="E12" s="73" t="n"/>
      <c r="F12" s="19" t="n"/>
      <c r="I12" s="90" t="inlineStr">
        <is>
          <t>מזה ריבית</t>
        </is>
      </c>
      <c r="J12" s="21">
        <f>IFERROR(J11-J5,0)</f>
        <v/>
      </c>
    </row>
    <row r="13">
      <c r="B13" s="72" t="n"/>
      <c r="C13" s="73" t="n"/>
      <c r="D13" s="113" t="n"/>
      <c r="E13" s="73" t="n"/>
      <c r="F13" s="19" t="n"/>
    </row>
    <row r="14">
      <c r="B14" s="72" t="n"/>
      <c r="C14" s="73" t="n"/>
      <c r="D14" s="113" t="n"/>
      <c r="E14" s="73" t="n"/>
      <c r="F14" s="19" t="n"/>
      <c r="I14" s="79" t="inlineStr">
        <is>
          <t>החזר נמוך יותר ≠ זול יותר: תקופה ארוכה מגדילה את הריבית. להסתכל על שתי השורות האחרונות.</t>
        </is>
      </c>
    </row>
    <row r="15">
      <c r="B15" s="72" t="n"/>
      <c r="C15" s="73" t="n"/>
      <c r="D15" s="113" t="n"/>
      <c r="E15" s="73" t="n"/>
      <c r="F15" s="19" t="n"/>
    </row>
    <row r="16">
      <c r="B16" s="23" t="inlineStr">
        <is>
          <t>סה"כ</t>
        </is>
      </c>
      <c r="C16" s="24">
        <f>SUM(C6:C15)</f>
        <v/>
      </c>
      <c r="E16" s="24">
        <f>SUM(E6:E15)</f>
        <v/>
      </c>
    </row>
    <row r="17"/>
    <row r="18" ht="20" customHeight="1" s="65">
      <c r="B18" s="78" t="inlineStr">
        <is>
          <t>עסקאות בתשלומים (מדפי האשראי)</t>
        </is>
      </c>
    </row>
    <row r="19">
      <c r="B19" s="74" t="inlineStr">
        <is>
          <t>שם העסק</t>
        </is>
      </c>
      <c r="C19" s="74" t="inlineStr">
        <is>
          <t>תאריך העסקה</t>
        </is>
      </c>
      <c r="D19" s="74" t="inlineStr">
        <is>
          <t>מס' תשלומים</t>
        </is>
      </c>
      <c r="E19" s="74" t="inlineStr">
        <is>
          <t>סכום חודשי</t>
        </is>
      </c>
      <c r="F19" s="74" t="inlineStr">
        <is>
          <t>בוצעו</t>
        </is>
      </c>
      <c r="G19" s="74" t="inlineStr">
        <is>
          <t>נותרו</t>
        </is>
      </c>
    </row>
    <row r="20">
      <c r="B20" s="72" t="n"/>
      <c r="C20" s="20" t="n"/>
      <c r="D20" s="19" t="n"/>
      <c r="E20" s="73" t="n"/>
      <c r="F20" s="30">
        <f>IF(OR(K20=0,D20=""),0,MIN(D20,MAX(0,(YEAR(TODAY())-YEAR(K20))*12+MONTH(TODAY())-MONTH(K20)+1)))</f>
        <v/>
      </c>
      <c r="G20" s="30">
        <f>IF(D20="",0,MAX(0,D20-F20))</f>
        <v/>
      </c>
      <c r="K20" s="114">
        <f>IF(ISNUMBER(C20),C20,IFERROR(DATEVALUE(SUBSTITUTE(SUBSTITUTE(TRIM(C20),".","/"),"-","/")),0))</f>
        <v/>
      </c>
    </row>
    <row r="21">
      <c r="B21" s="72" t="n"/>
      <c r="C21" s="20" t="n"/>
      <c r="D21" s="19" t="n"/>
      <c r="E21" s="73" t="n"/>
      <c r="F21" s="30">
        <f>IF(OR(K21=0,D21=""),0,MIN(D21,MAX(0,(YEAR(TODAY())-YEAR(K21))*12+MONTH(TODAY())-MONTH(K21)+1)))</f>
        <v/>
      </c>
      <c r="G21" s="30">
        <f>IF(D21="",0,MAX(0,D21-F21))</f>
        <v/>
      </c>
      <c r="K21" s="114">
        <f>IF(ISNUMBER(C21),C21,IFERROR(DATEVALUE(SUBSTITUTE(SUBSTITUTE(TRIM(C21),".","/"),"-","/")),0))</f>
        <v/>
      </c>
    </row>
    <row r="22">
      <c r="B22" s="72" t="n"/>
      <c r="C22" s="20" t="n"/>
      <c r="D22" s="19" t="n"/>
      <c r="E22" s="73" t="n"/>
      <c r="F22" s="30">
        <f>IF(OR(K22=0,D22=""),0,MIN(D22,MAX(0,(YEAR(TODAY())-YEAR(K22))*12+MONTH(TODAY())-MONTH(K22)+1)))</f>
        <v/>
      </c>
      <c r="G22" s="30">
        <f>IF(D22="",0,MAX(0,D22-F22))</f>
        <v/>
      </c>
      <c r="K22" s="114">
        <f>IF(ISNUMBER(C22),C22,IFERROR(DATEVALUE(SUBSTITUTE(SUBSTITUTE(TRIM(C22),".","/"),"-","/")),0))</f>
        <v/>
      </c>
    </row>
    <row r="23">
      <c r="B23" s="72" t="n"/>
      <c r="C23" s="20" t="n"/>
      <c r="D23" s="19" t="n"/>
      <c r="E23" s="73" t="n"/>
      <c r="F23" s="30">
        <f>IF(OR(K23=0,D23=""),0,MIN(D23,MAX(0,(YEAR(TODAY())-YEAR(K23))*12+MONTH(TODAY())-MONTH(K23)+1)))</f>
        <v/>
      </c>
      <c r="G23" s="30">
        <f>IF(D23="",0,MAX(0,D23-F23))</f>
        <v/>
      </c>
      <c r="K23" s="114">
        <f>IF(ISNUMBER(C23),C23,IFERROR(DATEVALUE(SUBSTITUTE(SUBSTITUTE(TRIM(C23),".","/"),"-","/")),0))</f>
        <v/>
      </c>
    </row>
    <row r="24">
      <c r="B24" s="72" t="n"/>
      <c r="C24" s="20" t="n"/>
      <c r="D24" s="19" t="n"/>
      <c r="E24" s="73" t="n"/>
      <c r="F24" s="30">
        <f>IF(OR(K24=0,D24=""),0,MIN(D24,MAX(0,(YEAR(TODAY())-YEAR(K24))*12+MONTH(TODAY())-MONTH(K24)+1)))</f>
        <v/>
      </c>
      <c r="G24" s="30">
        <f>IF(D24="",0,MAX(0,D24-F24))</f>
        <v/>
      </c>
      <c r="K24" s="114">
        <f>IF(ISNUMBER(C24),C24,IFERROR(DATEVALUE(SUBSTITUTE(SUBSTITUTE(TRIM(C24),".","/"),"-","/")),0))</f>
        <v/>
      </c>
    </row>
    <row r="25">
      <c r="B25" s="72" t="n"/>
      <c r="C25" s="20" t="n"/>
      <c r="D25" s="19" t="n"/>
      <c r="E25" s="73" t="n"/>
      <c r="F25" s="30">
        <f>IF(OR(K25=0,D25=""),0,MIN(D25,MAX(0,(YEAR(TODAY())-YEAR(K25))*12+MONTH(TODAY())-MONTH(K25)+1)))</f>
        <v/>
      </c>
      <c r="G25" s="30">
        <f>IF(D25="",0,MAX(0,D25-F25))</f>
        <v/>
      </c>
      <c r="K25" s="114">
        <f>IF(ISNUMBER(C25),C25,IFERROR(DATEVALUE(SUBSTITUTE(SUBSTITUTE(TRIM(C25),".","/"),"-","/")),0))</f>
        <v/>
      </c>
    </row>
    <row r="26">
      <c r="B26" s="72" t="n"/>
      <c r="C26" s="20" t="n"/>
      <c r="D26" s="19" t="n"/>
      <c r="E26" s="73" t="n"/>
      <c r="F26" s="30">
        <f>IF(OR(K26=0,D26=""),0,MIN(D26,MAX(0,(YEAR(TODAY())-YEAR(K26))*12+MONTH(TODAY())-MONTH(K26)+1)))</f>
        <v/>
      </c>
      <c r="G26" s="30">
        <f>IF(D26="",0,MAX(0,D26-F26))</f>
        <v/>
      </c>
      <c r="K26" s="114">
        <f>IF(ISNUMBER(C26),C26,IFERROR(DATEVALUE(SUBSTITUTE(SUBSTITUTE(TRIM(C26),".","/"),"-","/")),0))</f>
        <v/>
      </c>
    </row>
    <row r="27">
      <c r="B27" s="72" t="n"/>
      <c r="C27" s="20" t="n"/>
      <c r="D27" s="19" t="n"/>
      <c r="E27" s="73" t="n"/>
      <c r="F27" s="30">
        <f>IF(OR(K27=0,D27=""),0,MIN(D27,MAX(0,(YEAR(TODAY())-YEAR(K27))*12+MONTH(TODAY())-MONTH(K27)+1)))</f>
        <v/>
      </c>
      <c r="G27" s="30">
        <f>IF(D27="",0,MAX(0,D27-F27))</f>
        <v/>
      </c>
      <c r="K27" s="114">
        <f>IF(ISNUMBER(C27),C27,IFERROR(DATEVALUE(SUBSTITUTE(SUBSTITUTE(TRIM(C27),".","/"),"-","/")),0))</f>
        <v/>
      </c>
    </row>
    <row r="28">
      <c r="B28" s="72" t="n"/>
      <c r="C28" s="20" t="n"/>
      <c r="D28" s="19" t="n"/>
      <c r="E28" s="73" t="n"/>
      <c r="F28" s="30">
        <f>IF(OR(K28=0,D28=""),0,MIN(D28,MAX(0,(YEAR(TODAY())-YEAR(K28))*12+MONTH(TODAY())-MONTH(K28)+1)))</f>
        <v/>
      </c>
      <c r="G28" s="30">
        <f>IF(D28="",0,MAX(0,D28-F28))</f>
        <v/>
      </c>
      <c r="K28" s="114">
        <f>IF(ISNUMBER(C28),C28,IFERROR(DATEVALUE(SUBSTITUTE(SUBSTITUTE(TRIM(C28),".","/"),"-","/")),0))</f>
        <v/>
      </c>
    </row>
    <row r="29">
      <c r="B29" s="72" t="n"/>
      <c r="C29" s="20" t="n"/>
      <c r="D29" s="19" t="n"/>
      <c r="E29" s="73" t="n"/>
      <c r="F29" s="30">
        <f>IF(OR(K29=0,D29=""),0,MIN(D29,MAX(0,(YEAR(TODAY())-YEAR(K29))*12+MONTH(TODAY())-MONTH(K29)+1)))</f>
        <v/>
      </c>
      <c r="G29" s="30">
        <f>IF(D29="",0,MAX(0,D29-F29))</f>
        <v/>
      </c>
      <c r="K29" s="114">
        <f>IF(ISNUMBER(C29),C29,IFERROR(DATEVALUE(SUBSTITUTE(SUBSTITUTE(TRIM(C29),".","/"),"-","/")),0))</f>
        <v/>
      </c>
    </row>
    <row r="30">
      <c r="B30" s="72" t="n"/>
      <c r="C30" s="20" t="n"/>
      <c r="D30" s="19" t="n"/>
      <c r="E30" s="73" t="n"/>
      <c r="F30" s="30">
        <f>IF(OR(K30=0,D30=""),0,MIN(D30,MAX(0,(YEAR(TODAY())-YEAR(K30))*12+MONTH(TODAY())-MONTH(K30)+1)))</f>
        <v/>
      </c>
      <c r="G30" s="30">
        <f>IF(D30="",0,MAX(0,D30-F30))</f>
        <v/>
      </c>
      <c r="K30" s="114">
        <f>IF(ISNUMBER(C30),C30,IFERROR(DATEVALUE(SUBSTITUTE(SUBSTITUTE(TRIM(C30),".","/"),"-","/")),0))</f>
        <v/>
      </c>
    </row>
    <row r="31">
      <c r="B31" s="72" t="n"/>
      <c r="C31" s="20" t="n"/>
      <c r="D31" s="19" t="n"/>
      <c r="E31" s="73" t="n"/>
      <c r="F31" s="30">
        <f>IF(OR(K31=0,D31=""),0,MIN(D31,MAX(0,(YEAR(TODAY())-YEAR(K31))*12+MONTH(TODAY())-MONTH(K31)+1)))</f>
        <v/>
      </c>
      <c r="G31" s="30">
        <f>IF(D31="",0,MAX(0,D31-F31))</f>
        <v/>
      </c>
      <c r="K31" s="114">
        <f>IF(ISNUMBER(C31),C31,IFERROR(DATEVALUE(SUBSTITUTE(SUBSTITUTE(TRIM(C31),".","/"),"-","/")),0))</f>
        <v/>
      </c>
    </row>
    <row r="32">
      <c r="B32" s="72" t="n"/>
      <c r="C32" s="20" t="n"/>
      <c r="D32" s="19" t="n"/>
      <c r="E32" s="73" t="n"/>
      <c r="F32" s="30">
        <f>IF(OR(K32=0,D32=""),0,MIN(D32,MAX(0,(YEAR(TODAY())-YEAR(K32))*12+MONTH(TODAY())-MONTH(K32)+1)))</f>
        <v/>
      </c>
      <c r="G32" s="30">
        <f>IF(D32="",0,MAX(0,D32-F32))</f>
        <v/>
      </c>
      <c r="K32" s="114">
        <f>IF(ISNUMBER(C32),C32,IFERROR(DATEVALUE(SUBSTITUTE(SUBSTITUTE(TRIM(C32),".","/"),"-","/")),0))</f>
        <v/>
      </c>
    </row>
    <row r="33">
      <c r="B33" s="72" t="n"/>
      <c r="C33" s="20" t="n"/>
      <c r="D33" s="19" t="n"/>
      <c r="E33" s="73" t="n"/>
      <c r="F33" s="30">
        <f>IF(OR(K33=0,D33=""),0,MIN(D33,MAX(0,(YEAR(TODAY())-YEAR(K33))*12+MONTH(TODAY())-MONTH(K33)+1)))</f>
        <v/>
      </c>
      <c r="G33" s="30">
        <f>IF(D33="",0,MAX(0,D33-F33))</f>
        <v/>
      </c>
      <c r="K33" s="114">
        <f>IF(ISNUMBER(C33),C33,IFERROR(DATEVALUE(SUBSTITUTE(SUBSTITUTE(TRIM(C33),".","/"),"-","/")),0))</f>
        <v/>
      </c>
    </row>
    <row r="34">
      <c r="B34" s="23" t="inlineStr">
        <is>
          <t>סה"כ פעיל בתשלום</t>
        </is>
      </c>
      <c r="E34" s="24">
        <f>SUMPRODUCT((G20:G33&gt;0)*(E20:E33))</f>
        <v/>
      </c>
    </row>
    <row r="35">
      <c r="B35" s="67" t="inlineStr">
        <is>
          <t>תאריך אפשר בכל צורה: 15/3/2026 או 15.3.2026. העסקה נופלת מהתזרים לבד כשהיא נגמרת.</t>
        </is>
      </c>
    </row>
    <row r="36"/>
    <row r="37" ht="20" customHeight="1" s="65">
      <c r="B37" s="76" t="inlineStr">
        <is>
          <t>משכנתא — שווי הנכס ואחוז המימון</t>
        </is>
      </c>
    </row>
    <row r="38">
      <c r="B38" s="90" t="inlineStr">
        <is>
          <t>שווי הנכס</t>
        </is>
      </c>
      <c r="C38" s="21">
        <f>IF(N(מאזן!C14)&gt;0,מאזן!C14,"")</f>
        <v/>
      </c>
      <c r="D38" s="81" t="inlineStr">
        <is>
          <t>← נמשך מהמאזן (אפשר לדרוס)</t>
        </is>
      </c>
      <c r="E38" s="62" t="n"/>
      <c r="F38" s="62" t="n"/>
      <c r="G38" s="63" t="n"/>
    </row>
    <row r="39">
      <c r="B39" s="90" t="inlineStr">
        <is>
          <t>יתרת המשכנתא</t>
        </is>
      </c>
      <c r="C39" s="73" t="n"/>
    </row>
    <row r="40">
      <c r="B40" s="90" t="inlineStr">
        <is>
          <t>החזר חודשי</t>
        </is>
      </c>
      <c r="C40" s="73" t="n"/>
    </row>
    <row r="41">
      <c r="B41" s="90" t="inlineStr">
        <is>
          <t>ריבית ממוצעת</t>
        </is>
      </c>
      <c r="C41" s="36" t="n"/>
    </row>
    <row r="42">
      <c r="B42" s="90" t="inlineStr">
        <is>
          <t>שנים שנותרו</t>
        </is>
      </c>
      <c r="C42" s="19" t="n"/>
    </row>
    <row r="43"/>
    <row r="44" ht="16" customHeight="1" s="65">
      <c r="B44" s="23" t="inlineStr">
        <is>
          <t>◄ LTV — אחוז המימון</t>
        </is>
      </c>
      <c r="C44" s="115">
        <f>IFERROR(N(C39)/C38,"")</f>
        <v/>
      </c>
    </row>
    <row r="45">
      <c r="B45" s="23" t="inlineStr">
        <is>
          <t>◄ ההון שלכם בנכס</t>
        </is>
      </c>
      <c r="C45" s="26">
        <f>IF(N(C38)=0,"",C38-N(C39))</f>
        <v/>
      </c>
    </row>
    <row r="46"/>
    <row r="47">
      <c r="B47" s="90" t="inlineStr">
        <is>
          <t>תקרת מימון</t>
        </is>
      </c>
      <c r="C47" s="38" t="n">
        <v>0.5</v>
      </c>
    </row>
    <row r="48">
      <c r="B48" s="23" t="inlineStr">
        <is>
          <t>◄ ניתן להשלים עוד עד התקרה</t>
        </is>
      </c>
      <c r="C48" s="24">
        <f>IF(N(C38)=0,"",MAX(0,C38*N(C47)-N(C39)))</f>
        <v/>
      </c>
    </row>
    <row r="49"/>
    <row r="50" ht="20" customHeight="1" s="65">
      <c r="B50" s="80">
        <f>IF(N(C38)=0,"מלאו שווי נכס במאזן (או כאן) ויתרת משכנתא — והמימון יחושב",IF(C44&lt;C47,"🟢 אחוז המימון "&amp;TEXT(C44,"0.0%")&amp;" — יש מקום להשלים עוד "&amp;TEXT(C48,"#,##0")&amp;" ₪ עד תקרת ה-"&amp;TEXT(C47,"0%"),"🔴 אחוז המימון "&amp;TEXT(C44,"0.0%")&amp;" — מעל התקרה. אין מקום להשלמת מימון בשלב זה"))</f>
        <v/>
      </c>
    </row>
    <row r="51"/>
    <row r="52">
      <c r="B52" s="67" t="inlineStr">
        <is>
          <t>עד 50% מימון — הבנק מאפשר בדרך כלל הלוואה לכל מטרה בשעבוד הנכס. שיפור דיור עד 70% · דירה יחידה ברכישה עד 75%. היתרה וההחזר זורמים למאזן ולמיפוי התזרים.</t>
        </is>
      </c>
    </row>
  </sheetData>
  <mergeCells count="11">
    <mergeCell ref="B18:H18"/>
    <mergeCell ref="B1:H1"/>
    <mergeCell ref="B37:G37"/>
    <mergeCell ref="B35:H35"/>
    <mergeCell ref="B4:H4"/>
    <mergeCell ref="I14:K15"/>
    <mergeCell ref="B50:G50"/>
    <mergeCell ref="B2:H2"/>
    <mergeCell ref="I4:K4"/>
    <mergeCell ref="B52:G52"/>
    <mergeCell ref="D38:G38"/>
  </mergeCells>
  <conditionalFormatting sqref="C44">
    <cfRule type="expression" priority="1" dxfId="0">
      <formula>AND(C44&lt;&gt;"",C44&lt;0.5)</formula>
    </cfRule>
    <cfRule type="expression" priority="2" dxfId="1">
      <formula>AND(C44&lt;&gt;"",C44&gt;=0.5)</formula>
    </cfRule>
  </conditionalFormatting>
  <hyperlinks>
    <hyperlink ref="I1" location="'בית'!A1" display="🏠 בית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E8A6B"/>
    <outlinePr summaryBelow="1" summaryRight="1"/>
    <pageSetUpPr/>
  </sheetPr>
  <dimension ref="A1:L90"/>
  <sheetViews>
    <sheetView rightToLeft="1" workbookViewId="0">
      <selection activeCell="K6" sqref="K6:L6"/>
    </sheetView>
  </sheetViews>
  <sheetFormatPr baseColWidth="10" defaultColWidth="8.83203125" defaultRowHeight="14"/>
  <cols>
    <col width="2" customWidth="1" style="65" min="1" max="1"/>
    <col width="28" customWidth="1" style="65" min="2" max="2"/>
    <col width="13" customWidth="1" style="65" min="3" max="4"/>
    <col width="12" customWidth="1" style="65" min="5" max="6"/>
    <col width="3" customWidth="1" style="65" min="7" max="7"/>
    <col width="26" customWidth="1" style="65" min="8" max="8"/>
    <col width="14" customWidth="1" style="65" min="9" max="9"/>
    <col width="16" customWidth="1" style="65" min="10" max="10"/>
    <col width="13" customWidth="1" style="65" min="11" max="12"/>
    <col width="13" customWidth="1" style="65" min="12" max="12"/>
  </cols>
  <sheetData>
    <row r="1" ht="28" customHeight="1" s="65">
      <c r="B1" s="70" t="inlineStr">
        <is>
          <t>מאזן וחשבונות</t>
        </is>
      </c>
      <c r="I1" s="15" t="inlineStr">
        <is>
          <t>🏠 בית</t>
        </is>
      </c>
    </row>
    <row r="2">
      <c r="B2" s="64" t="inlineStr">
        <is>
          <t>מה יש, מה חייבים, הכלים בבנק — והשווי הנקי. מעדכנים פעם בחצי שנה.</t>
        </is>
      </c>
    </row>
    <row r="3"/>
    <row r="4" ht="20" customHeight="1" s="65">
      <c r="B4" s="75" t="inlineStr">
        <is>
          <t>מה יש לנו — נכסים</t>
        </is>
      </c>
      <c r="H4" s="76" t="inlineStr">
        <is>
          <t>יחסי חוב — מבט מהיר</t>
        </is>
      </c>
    </row>
    <row r="5">
      <c r="B5" s="74" t="inlineStr">
        <is>
          <t>נכס</t>
        </is>
      </c>
      <c r="C5" s="74" t="inlineStr">
        <is>
          <t>שווי נוכחי</t>
        </is>
      </c>
      <c r="H5" s="74" t="inlineStr">
        <is>
          <t>מדד</t>
        </is>
      </c>
      <c r="I5" s="74" t="inlineStr">
        <is>
          <t>הערך</t>
        </is>
      </c>
      <c r="J5" s="74" t="inlineStr">
        <is>
          <t>יעד</t>
        </is>
      </c>
      <c r="K5" s="74" t="inlineStr">
        <is>
          <t>סטטוס</t>
        </is>
      </c>
    </row>
    <row r="6">
      <c r="B6" s="90" t="inlineStr">
        <is>
          <t>עו"ש ופיקדונות</t>
        </is>
      </c>
      <c r="C6" s="21">
        <f>IF(COUNT(C69:H69)&gt;0,LOOKUP(2,1/(C69:H69&lt;&gt;""),C69:H69),IF(SUM(K12:K17)=0,"",SUM(K12:K17)))</f>
        <v/>
      </c>
      <c r="H6" s="90" t="inlineStr">
        <is>
          <t>LTV — משכנתא מול הדירה</t>
        </is>
      </c>
      <c r="I6" s="32">
        <f>IFERROR(C21/C14,0)</f>
        <v/>
      </c>
      <c r="J6" s="33" t="inlineStr">
        <is>
          <t>≤ 70%</t>
        </is>
      </c>
      <c r="K6" s="83">
        <f>IF(I6&lt;=0.7,"🟢",IF(I6&lt;=0.8,"🟡","🔴"))</f>
        <v/>
      </c>
      <c r="L6" s="63" t="n"/>
    </row>
    <row r="7">
      <c r="B7" s="90" t="inlineStr">
        <is>
          <t>קרן כספית / חיסכון נזיל</t>
        </is>
      </c>
      <c r="C7" s="21">
        <f>IFERROR(LOOKUP(2,1/(C70:H70&lt;&gt;""),C70:H70),"")</f>
        <v/>
      </c>
      <c r="H7" s="90" t="inlineStr">
        <is>
          <t>חוב מול הכנסה שנתית</t>
        </is>
      </c>
      <c r="I7" s="116">
        <f>IFERROR(C25/MAX(1,IF(תזרים!$AC$2&gt;0,תזרים!AB12/תזרים!$AC$2*12,תזרים!AA12)),0)</f>
        <v/>
      </c>
      <c r="J7" s="33" t="inlineStr">
        <is>
          <t>≤ פי 4</t>
        </is>
      </c>
      <c r="K7" s="83">
        <f>IF(I7&lt;=4,"🟢",IF(I7&lt;=5,"🟡","🔴"))</f>
        <v/>
      </c>
      <c r="L7" s="63" t="n"/>
    </row>
    <row r="8">
      <c r="B8" s="90" t="inlineStr">
        <is>
          <t>קרן השתלמות</t>
        </is>
      </c>
      <c r="C8" s="21">
        <f>IF(COUNT(C71:H71)&gt;0,LOOKUP(2,1/(C71:H71&lt;&gt;""),C71:H71),IF(K60=0,"",K60))</f>
        <v/>
      </c>
      <c r="H8" s="90" t="inlineStr">
        <is>
          <t>מינוף — חוב מול נכסים</t>
        </is>
      </c>
      <c r="I8" s="32">
        <f>IFERROR(C25/C17,0)</f>
        <v/>
      </c>
      <c r="J8" s="33" t="inlineStr">
        <is>
          <t>≤ 50%</t>
        </is>
      </c>
      <c r="K8" s="83">
        <f>IF(I8&lt;=0.5,"🟢",IF(I8&lt;=0.7,"🟡","🔴"))</f>
        <v/>
      </c>
      <c r="L8" s="63" t="n"/>
    </row>
    <row r="9">
      <c r="B9" s="90" t="inlineStr">
        <is>
          <t>גמל להשקעה</t>
        </is>
      </c>
      <c r="C9" s="21">
        <f>IF(COUNT(C72:H72)&gt;0,LOOKUP(2,1/(C72:H72&lt;&gt;""),C72:H72),IF(K61=0,"",K61))</f>
        <v/>
      </c>
    </row>
    <row r="10" ht="20" customHeight="1" s="65">
      <c r="B10" s="90" t="inlineStr">
        <is>
          <t>תיק השקעות</t>
        </is>
      </c>
      <c r="C10" s="21">
        <f>IF(COUNT(C73:H73)&gt;0,LOOKUP(2,1/(C73:H73&lt;&gt;""),C73:H73),IF(K62=0,"",K62))</f>
        <v/>
      </c>
      <c r="H10" s="75" t="inlineStr">
        <is>
          <t>חשבונות בנק — הכלים של הזוג</t>
        </is>
      </c>
    </row>
    <row r="11">
      <c r="B11" s="90" t="inlineStr">
        <is>
          <t>חיסכון לילדים</t>
        </is>
      </c>
      <c r="C11" s="21">
        <f>IFERROR(LOOKUP(2,1/(C74:H74&lt;&gt;""),C74:H74),"")</f>
        <v/>
      </c>
      <c r="H11" s="74" t="inlineStr">
        <is>
          <t>בנק / סניף</t>
        </is>
      </c>
      <c r="I11" s="74" t="inlineStr">
        <is>
          <t>מספר חשבון</t>
        </is>
      </c>
      <c r="J11" s="74" t="inlineStr">
        <is>
          <t>בעלים</t>
        </is>
      </c>
      <c r="K11" s="74" t="inlineStr">
        <is>
          <t>יתרה</t>
        </is>
      </c>
      <c r="L11" s="74" t="inlineStr">
        <is>
          <t>מסגרת</t>
        </is>
      </c>
    </row>
    <row r="12">
      <c r="B12" s="90">
        <f>"פנסיה — "&amp;IF(שאלון!$C$6="","בן/בת זוג 1",שאלון!$C$6)</f>
        <v/>
      </c>
      <c r="C12" s="21">
        <f>IFERROR(LOOKUP(2,1/(C75:H75&lt;&gt;""),C75:H75),"")</f>
        <v/>
      </c>
      <c r="H12" s="72" t="n"/>
      <c r="I12" s="72" t="n"/>
      <c r="J12" s="72" t="n"/>
      <c r="K12" s="73" t="n"/>
      <c r="L12" s="73" t="n"/>
    </row>
    <row r="13">
      <c r="B13" s="90">
        <f>"פנסיה — "&amp;IF(שאלון!$D$6="","בן/בת זוג 2",שאלון!$D$6)</f>
        <v/>
      </c>
      <c r="C13" s="21">
        <f>IFERROR(LOOKUP(2,1/(C76:H76&lt;&gt;""),C76:H76),"")</f>
        <v/>
      </c>
      <c r="H13" s="72" t="n"/>
      <c r="I13" s="72" t="n"/>
      <c r="J13" s="72" t="n"/>
      <c r="K13" s="73" t="n"/>
      <c r="L13" s="73" t="n"/>
    </row>
    <row r="14">
      <c r="B14" s="90" t="inlineStr">
        <is>
          <t>דירה (שווי שוק)</t>
        </is>
      </c>
      <c r="C14" s="21">
        <f>IFERROR(LOOKUP(2,1/(C77:H77&lt;&gt;""),C77:H77),"")</f>
        <v/>
      </c>
      <c r="H14" s="72" t="n"/>
      <c r="I14" s="72" t="n"/>
      <c r="J14" s="72" t="n"/>
      <c r="K14" s="73" t="n"/>
      <c r="L14" s="73" t="n"/>
    </row>
    <row r="15">
      <c r="B15" s="90" t="inlineStr">
        <is>
          <t>רכב</t>
        </is>
      </c>
      <c r="C15" s="21">
        <f>IFERROR(LOOKUP(2,1/(C78:H78&lt;&gt;""),C78:H78),"")</f>
        <v/>
      </c>
      <c r="H15" s="72" t="n"/>
      <c r="I15" s="72" t="n"/>
      <c r="J15" s="72" t="n"/>
      <c r="K15" s="73" t="n"/>
      <c r="L15" s="73" t="n"/>
    </row>
    <row r="16">
      <c r="B16" s="90" t="inlineStr">
        <is>
          <t>אחר</t>
        </is>
      </c>
      <c r="C16" s="21">
        <f>IFERROR(LOOKUP(2,1/(C79:H79&lt;&gt;""),C79:H79),"")</f>
        <v/>
      </c>
      <c r="H16" s="72" t="n"/>
      <c r="I16" s="72" t="n"/>
      <c r="J16" s="72" t="n"/>
      <c r="K16" s="73" t="n"/>
      <c r="L16" s="73" t="n"/>
    </row>
    <row r="17">
      <c r="B17" s="23" t="inlineStr">
        <is>
          <t>סה"כ נכסים</t>
        </is>
      </c>
      <c r="C17" s="24">
        <f>SUM(C6:C16)</f>
        <v/>
      </c>
      <c r="H17" s="72" t="n"/>
      <c r="I17" s="72" t="n"/>
      <c r="J17" s="72" t="n"/>
      <c r="K17" s="73" t="n"/>
      <c r="L17" s="73" t="n"/>
    </row>
    <row r="18">
      <c r="H18" s="23" t="inlineStr">
        <is>
          <t>סה"כ</t>
        </is>
      </c>
      <c r="K18" s="24">
        <f>SUM(K12:K17)</f>
        <v/>
      </c>
      <c r="L18" s="24">
        <f>SUM(L12:L17)</f>
        <v/>
      </c>
    </row>
    <row r="19" ht="20" customHeight="1" s="65">
      <c r="B19" s="78" t="inlineStr">
        <is>
          <t>מה אנחנו חייבים — התחייבויות</t>
        </is>
      </c>
    </row>
    <row r="20" ht="20" customHeight="1" s="65">
      <c r="B20" s="74" t="inlineStr">
        <is>
          <t>התחייבות</t>
        </is>
      </c>
      <c r="C20" s="74" t="inlineStr">
        <is>
          <t>יתרה</t>
        </is>
      </c>
      <c r="H20" s="75" t="inlineStr">
        <is>
          <t>כרטיסי אשראי</t>
        </is>
      </c>
    </row>
    <row r="21">
      <c r="B21" s="90" t="inlineStr">
        <is>
          <t>משכנתא</t>
        </is>
      </c>
      <c r="C21" s="21">
        <f>IFERROR(חובות!C39,0)</f>
        <v/>
      </c>
      <c r="D21" s="67" t="inlineStr">
        <is>
          <t>נמשך מדף חובות</t>
        </is>
      </c>
      <c r="H21" s="74" t="inlineStr">
        <is>
          <t>כרטיס / חברה</t>
        </is>
      </c>
      <c r="I21" s="74" t="inlineStr">
        <is>
          <t>4 ספרות</t>
        </is>
      </c>
      <c r="J21" s="74" t="inlineStr">
        <is>
          <t>משויך לחשבון</t>
        </is>
      </c>
      <c r="K21" s="74" t="inlineStr">
        <is>
          <t>יום חיוב</t>
        </is>
      </c>
      <c r="L21" s="74" t="inlineStr">
        <is>
          <t>מסגרת</t>
        </is>
      </c>
    </row>
    <row r="22">
      <c r="B22" s="90" t="inlineStr">
        <is>
          <t>הלוואות (נמשך מדף חובות)</t>
        </is>
      </c>
      <c r="C22" s="21">
        <f>חובות!C16</f>
        <v/>
      </c>
      <c r="H22" s="72" t="n"/>
      <c r="I22" s="72" t="n"/>
      <c r="J22" s="72" t="n"/>
      <c r="K22" s="19" t="n"/>
      <c r="L22" s="73" t="n"/>
    </row>
    <row r="23">
      <c r="B23" s="90" t="inlineStr">
        <is>
          <t>מסגרות אשראי מנוצלות</t>
        </is>
      </c>
      <c r="C23" s="73" t="n"/>
      <c r="H23" s="72" t="n"/>
      <c r="I23" s="72" t="n"/>
      <c r="J23" s="72" t="n"/>
      <c r="K23" s="19" t="n"/>
      <c r="L23" s="73" t="n"/>
    </row>
    <row r="24">
      <c r="B24" s="90" t="inlineStr">
        <is>
          <t>אחר</t>
        </is>
      </c>
      <c r="C24" s="73" t="n"/>
      <c r="H24" s="72" t="n"/>
      <c r="I24" s="72" t="n"/>
      <c r="J24" s="72" t="n"/>
      <c r="K24" s="19" t="n"/>
      <c r="L24" s="73" t="n"/>
    </row>
    <row r="25">
      <c r="B25" s="23" t="inlineStr">
        <is>
          <t>סה"כ התחייבויות</t>
        </is>
      </c>
      <c r="C25" s="24">
        <f>SUM(C21:C24)</f>
        <v/>
      </c>
      <c r="H25" s="72" t="n"/>
      <c r="I25" s="72" t="n"/>
      <c r="J25" s="72" t="n"/>
      <c r="K25" s="19" t="n"/>
      <c r="L25" s="73" t="n"/>
    </row>
    <row r="26">
      <c r="H26" s="72" t="n"/>
      <c r="I26" s="72" t="n"/>
      <c r="J26" s="72" t="n"/>
      <c r="K26" s="19" t="n"/>
      <c r="L26" s="73" t="n"/>
    </row>
    <row r="27" ht="20" customHeight="1" s="65">
      <c r="B27" s="69" t="inlineStr">
        <is>
          <t>השווי הנקי של המשפחה</t>
        </is>
      </c>
      <c r="H27" s="72" t="n"/>
      <c r="I27" s="72" t="n"/>
      <c r="J27" s="72" t="n"/>
      <c r="K27" s="19" t="n"/>
      <c r="L27" s="73" t="n"/>
    </row>
    <row r="28" ht="30" customHeight="1" s="65">
      <c r="B28" s="84">
        <f>C17-C25</f>
        <v/>
      </c>
      <c r="H28" s="23" t="inlineStr">
        <is>
          <t>סה"כ מסגרות</t>
        </is>
      </c>
      <c r="L28" s="24">
        <f>SUM(L22:L27)</f>
        <v/>
      </c>
    </row>
    <row r="29"/>
    <row r="30">
      <c r="B30" s="67" t="inlineStr">
        <is>
          <t>שווי נקי = נכסים פחות התחייבויות. זה המספר שעוקבים אחריו שנה אחרי שנה — לא היתרה בעו"ש.</t>
        </is>
      </c>
    </row>
    <row r="31"/>
    <row r="32" ht="20" customHeight="1" s="65">
      <c r="B32" s="76" t="inlineStr">
        <is>
          <t>פנסיוני — מבט קדימה</t>
        </is>
      </c>
    </row>
    <row r="33">
      <c r="B33" s="74" t="n"/>
      <c r="C33" s="35">
        <f>IF(שאלון!C6="","בן/בת זוג 1",שאלון!C6)</f>
        <v/>
      </c>
      <c r="D33" s="35">
        <f>IF(שאלון!D6="","בן/בת זוג 2",שאלון!D6)</f>
        <v/>
      </c>
    </row>
    <row r="34">
      <c r="B34" s="90" t="inlineStr">
        <is>
          <t>גיל נוכחי (מהשאלון)</t>
        </is>
      </c>
      <c r="C34" s="30">
        <f>N(שאלון!C7)</f>
        <v/>
      </c>
      <c r="D34" s="30">
        <f>N(שאלון!D7)</f>
        <v/>
      </c>
    </row>
    <row r="35">
      <c r="B35" s="90" t="inlineStr">
        <is>
          <t>גיל פרישה</t>
        </is>
      </c>
      <c r="C35" s="19" t="n">
        <v>67</v>
      </c>
      <c r="D35" s="19" t="n">
        <v>67</v>
      </c>
    </row>
    <row r="36">
      <c r="B36" s="90" t="inlineStr">
        <is>
          <t>צבירה נוכחית (מהנכסים למעלה)</t>
        </is>
      </c>
      <c r="C36" s="21">
        <f>N(C12)</f>
        <v/>
      </c>
      <c r="D36" s="21">
        <f>N(C13)</f>
        <v/>
      </c>
    </row>
    <row r="37">
      <c r="B37" s="90" t="inlineStr">
        <is>
          <t>הפקדה חודשית לפנסיה</t>
        </is>
      </c>
      <c r="C37" s="73" t="n"/>
      <c r="D37" s="73" t="n"/>
    </row>
    <row r="38">
      <c r="B38" s="90" t="inlineStr">
        <is>
          <t>דמי ניהול מצבירה</t>
        </is>
      </c>
      <c r="C38" s="36" t="n">
        <v>0.005</v>
      </c>
      <c r="D38" s="36" t="n">
        <v>0.005</v>
      </c>
    </row>
    <row r="39">
      <c r="B39" s="90" t="inlineStr">
        <is>
          <t>דמי ניהול מהפקדה</t>
        </is>
      </c>
      <c r="C39" s="113" t="n">
        <v>0.02</v>
      </c>
      <c r="D39" s="113" t="n">
        <v>0.02</v>
      </c>
    </row>
    <row r="40">
      <c r="B40" s="90" t="inlineStr">
        <is>
          <t>תשואה שנתית להנחה</t>
        </is>
      </c>
      <c r="C40" s="113" t="n">
        <v>0.04</v>
      </c>
      <c r="D40" s="113" t="n">
        <v>0.04</v>
      </c>
    </row>
    <row r="41">
      <c r="B41" s="23" t="inlineStr">
        <is>
          <t>◄ צפי צבירה בפרישה</t>
        </is>
      </c>
      <c r="C41" s="37">
        <f>IFERROR(FV(C40-C38,MAX(0,C35-C34),-C37*12*(1-C39),-C36),0)</f>
        <v/>
      </c>
      <c r="D41" s="37">
        <f>IFERROR(FV(D40-D38,MAX(0,D35-D34),-D37*12*(1-D39),-D36),0)</f>
        <v/>
      </c>
    </row>
    <row r="42">
      <c r="B42" s="90" t="inlineStr">
        <is>
          <t>מקדם המרה</t>
        </is>
      </c>
      <c r="C42" s="19" t="n">
        <v>200</v>
      </c>
      <c r="D42" s="19" t="n">
        <v>200</v>
      </c>
    </row>
    <row r="43">
      <c r="B43" s="23" t="inlineStr">
        <is>
          <t>◄ קצבה חודשית צפויה</t>
        </is>
      </c>
      <c r="C43" s="26">
        <f>IFERROR(C41/C42,0)</f>
        <v/>
      </c>
      <c r="D43" s="26">
        <f>IFERROR(D41/D42,0)</f>
        <v/>
      </c>
    </row>
    <row r="44">
      <c r="B44" s="23" t="inlineStr">
        <is>
          <t>קצבה משפחתית + שיעור תחלופה</t>
        </is>
      </c>
      <c r="C44" s="24">
        <f>C43+D43</f>
        <v/>
      </c>
      <c r="D44" s="25">
        <f>IFERROR((C43+D43)/MAX(1,IF(תזרים!$AC$2&gt;0,תזרים!AB12/תזרים!$AC$2,תזרים!AA12/12)),0)</f>
        <v/>
      </c>
    </row>
    <row r="45"/>
    <row r="46">
      <c r="B46" s="80">
        <f>IF(C44=0,"מלאו צבירה, הפקדה וגיל — ותקבלו את צפי הקצבה",IF(D44&gt;=0.7,"🟢 שיעור תחלופה בריא — הקצבה שומרת על רמת החיים",IF(D44&gt;=0.5,"🟡 תחלופה חלקית — לשקול הגדלת הפקדה או בדיקת מסלול","🔴 פער פנסיוני משמעותי — נושא לטיפול בליווי")))</f>
        <v/>
      </c>
    </row>
    <row r="47" ht="20" customHeight="1" s="65">
      <c r="H47" s="121" t="inlineStr">
        <is>
          <t>פירוט קרנות והשקעות — לפי בעלים</t>
        </is>
      </c>
    </row>
    <row r="48" ht="28" customHeight="1" s="65">
      <c r="B48" s="67" t="inlineStr">
        <is>
          <t>צפי הצבירה: תשואה בניכוי דמי ניהול מצבירה, הפקדות בניכוי דמי ניהול מהפקדה, עד גיל הפרישה — במחירי היום.</t>
        </is>
      </c>
      <c r="H48" s="122" t="inlineStr">
        <is>
          <t>שם הקרן / הגוף</t>
        </is>
      </c>
      <c r="I48" s="122" t="inlineStr">
        <is>
          <t>על שם</t>
        </is>
      </c>
      <c r="J48" s="122" t="inlineStr">
        <is>
          <t>סוג</t>
        </is>
      </c>
      <c r="K48" s="122" t="inlineStr">
        <is>
          <t>יתרה</t>
        </is>
      </c>
      <c r="L48" s="122" t="inlineStr">
        <is>
          <t>הפקדה חודשית</t>
        </is>
      </c>
    </row>
    <row r="49">
      <c r="H49" s="123" t="n"/>
      <c r="I49" s="123" t="n"/>
      <c r="J49" s="123" t="n"/>
      <c r="K49" s="112" t="n"/>
      <c r="L49" s="112" t="n"/>
    </row>
    <row r="50" ht="20" customHeight="1" s="65">
      <c r="B50" s="76" t="inlineStr">
        <is>
          <t>אלוקציית נכסים — ומה כדאי לשנות</t>
        </is>
      </c>
      <c r="H50" s="123" t="n"/>
      <c r="I50" s="123" t="n"/>
      <c r="J50" s="123" t="n"/>
      <c r="K50" s="112" t="n"/>
      <c r="L50" s="112" t="n"/>
    </row>
    <row r="51">
      <c r="B51" s="74" t="inlineStr">
        <is>
          <t>אפיק</t>
        </is>
      </c>
      <c r="C51" s="74" t="inlineStr">
        <is>
          <t>סכום</t>
        </is>
      </c>
      <c r="D51" s="74" t="inlineStr">
        <is>
          <t>% בפועל</t>
        </is>
      </c>
      <c r="E51" s="74" t="inlineStr">
        <is>
          <t>יעד %</t>
        </is>
      </c>
      <c r="F51" s="74" t="inlineStr">
        <is>
          <t>פער</t>
        </is>
      </c>
      <c r="H51" s="123" t="n"/>
      <c r="I51" s="123" t="n"/>
      <c r="J51" s="123" t="n"/>
      <c r="K51" s="112" t="n"/>
      <c r="L51" s="112" t="n"/>
    </row>
    <row r="52">
      <c r="B52" s="90" t="inlineStr">
        <is>
          <t>נזיל (עו"ש, פיקדונות, כספית)</t>
        </is>
      </c>
      <c r="C52" s="21">
        <f>N(C6)+N(C7)</f>
        <v/>
      </c>
      <c r="D52" s="32">
        <f>IFERROR(C52/$C$17,0)</f>
        <v/>
      </c>
      <c r="E52" s="38" t="n">
        <v>0.1</v>
      </c>
      <c r="F52" s="93">
        <f>IF($C$17=0,"",D52-E52)</f>
        <v/>
      </c>
      <c r="H52" s="123" t="n"/>
      <c r="I52" s="123" t="n"/>
      <c r="J52" s="123" t="n"/>
      <c r="K52" s="112" t="n"/>
      <c r="L52" s="112" t="n"/>
    </row>
    <row r="53">
      <c r="B53" s="90" t="inlineStr">
        <is>
          <t>שוק ההון (השתלמות, גמל, תיק, ילדים)</t>
        </is>
      </c>
      <c r="C53" s="21">
        <f>N(C8)+N(C9)+N(C10)+N(C11)</f>
        <v/>
      </c>
      <c r="D53" s="32">
        <f>IFERROR(C53/$C$17,0)</f>
        <v/>
      </c>
      <c r="E53" s="38" t="n">
        <v>0.25</v>
      </c>
      <c r="F53" s="93">
        <f>IF($C$17=0,"",D53-E53)</f>
        <v/>
      </c>
      <c r="H53" s="123" t="n"/>
      <c r="I53" s="123" t="n"/>
      <c r="J53" s="123" t="n"/>
      <c r="K53" s="112" t="n"/>
      <c r="L53" s="112" t="n"/>
    </row>
    <row r="54">
      <c r="B54" s="90" t="inlineStr">
        <is>
          <t>פנסיוני</t>
        </is>
      </c>
      <c r="C54" s="21">
        <f>N(C12)+N(C13)</f>
        <v/>
      </c>
      <c r="D54" s="32">
        <f>IFERROR(C54/$C$17,0)</f>
        <v/>
      </c>
      <c r="E54" s="38" t="n">
        <v>0.3</v>
      </c>
      <c r="F54" s="93">
        <f>IF($C$17=0,"",D54-E54)</f>
        <v/>
      </c>
      <c r="H54" s="123" t="n"/>
      <c r="I54" s="123" t="n"/>
      <c r="J54" s="123" t="n"/>
      <c r="K54" s="112" t="n"/>
      <c r="L54" s="112" t="n"/>
    </row>
    <row r="55">
      <c r="B55" s="90" t="inlineStr">
        <is>
          <t>נדל"ן</t>
        </is>
      </c>
      <c r="C55" s="21">
        <f>N(C14)</f>
        <v/>
      </c>
      <c r="D55" s="32">
        <f>IFERROR(C55/$C$17,0)</f>
        <v/>
      </c>
      <c r="E55" s="38" t="n">
        <v>0.3</v>
      </c>
      <c r="F55" s="93">
        <f>IF($C$17=0,"",D55-E55)</f>
        <v/>
      </c>
      <c r="H55" s="123" t="n"/>
      <c r="I55" s="123" t="n"/>
      <c r="J55" s="123" t="n"/>
      <c r="K55" s="112" t="n"/>
      <c r="L55" s="112" t="n"/>
    </row>
    <row r="56">
      <c r="B56" s="90" t="inlineStr">
        <is>
          <t>אחר (רכב וכו׳)</t>
        </is>
      </c>
      <c r="C56" s="21">
        <f>N(C15)+N(C16)</f>
        <v/>
      </c>
      <c r="D56" s="32">
        <f>IFERROR(C56/$C$17,0)</f>
        <v/>
      </c>
      <c r="E56" s="38" t="n">
        <v>0.05</v>
      </c>
      <c r="F56" s="93">
        <f>IF($C$17=0,"",D56-E56)</f>
        <v/>
      </c>
      <c r="H56" s="123" t="n"/>
      <c r="I56" s="123" t="n"/>
      <c r="J56" s="123" t="n"/>
      <c r="K56" s="112" t="n"/>
      <c r="L56" s="112" t="n"/>
    </row>
    <row r="57">
      <c r="H57" s="123" t="n"/>
      <c r="I57" s="123" t="n"/>
      <c r="J57" s="123" t="n"/>
      <c r="K57" s="112" t="n"/>
      <c r="L57" s="112" t="n"/>
    </row>
    <row r="58" ht="20" customHeight="1" s="65">
      <c r="B58" s="77" t="inlineStr">
        <is>
          <t>חשיפת מטבע — שקל מול מט"ח</t>
        </is>
      </c>
      <c r="H58" s="123" t="n"/>
      <c r="I58" s="123" t="n"/>
      <c r="J58" s="123" t="n"/>
      <c r="K58" s="112" t="n"/>
      <c r="L58" s="112" t="n"/>
    </row>
    <row r="59">
      <c r="B59" s="90" t="inlineStr">
        <is>
          <t>נקוב או חשוף למט"ח</t>
        </is>
      </c>
      <c r="C59" s="73" t="n"/>
      <c r="D59" s="32">
        <f>IFERROR(N(C59)/C17,0)</f>
        <v/>
      </c>
    </row>
    <row r="60">
      <c r="B60" s="90" t="inlineStr">
        <is>
          <t>בשקלים</t>
        </is>
      </c>
      <c r="C60" s="21">
        <f>MAX(0,C17-N(C59))</f>
        <v/>
      </c>
      <c r="D60" s="32">
        <f>IFERROR(C60/C17,0)</f>
        <v/>
      </c>
      <c r="H60" s="124" t="inlineStr">
        <is>
          <t>סה"כ קרן השתלמות</t>
        </is>
      </c>
      <c r="I60" s="62" t="n"/>
      <c r="J60" s="63" t="n"/>
      <c r="K60" s="125">
        <f>SUMIF($J$49:$J$58,"קרן השתלמות",$K$49:$K$58)</f>
        <v/>
      </c>
      <c r="L60" s="125">
        <f>SUMIF($J$49:$J$58,"קרן השתלמות",$L$49:$L$58)</f>
        <v/>
      </c>
    </row>
    <row r="61">
      <c r="H61" s="124" t="inlineStr">
        <is>
          <t>סה"כ גמל להשקעה</t>
        </is>
      </c>
      <c r="I61" s="62" t="n"/>
      <c r="J61" s="63" t="n"/>
      <c r="K61" s="125">
        <f>SUMIF($J$49:$J$58,"גמל להשקעה",$K$49:$K$58)</f>
        <v/>
      </c>
      <c r="L61" s="125">
        <f>SUMIF($J$49:$J$58,"גמל להשקעה",$L$49:$L$58)</f>
        <v/>
      </c>
    </row>
    <row r="62">
      <c r="B62" s="80">
        <f>IF(C17=0,"מלאו את הנכסים למעלה — והפיזור יחושב לבד",IF(D55&gt;0.7,"🔴 ריכוזיות נדל״ן — "&amp;TEXT(D55,"0%")&amp;" מהנכסים בנכס אחד. חיסכון חדש עדיף לשוק ההון",IF(D52&lt;0.05,"🟡 נזילות נמוכה — פחות מ-5% זמין מיידית. לבנות כרית לפני השקעות",IF(D59&lt;0.1,"🟡 כמעט הכל בשקל — לשקול פיזור מטבעי (מדדים עולמיים)","🟢 הפיזור סביר — עקבו אחרי עמודת הפער מול היעד"))))</f>
        <v/>
      </c>
      <c r="H62" s="124" t="inlineStr">
        <is>
          <t>סה"כ תיק השקעות</t>
        </is>
      </c>
      <c r="I62" s="62" t="n"/>
      <c r="J62" s="63" t="n"/>
      <c r="K62" s="125">
        <f>SUMIF($J$49:$J$58,"תיק השקעות",$K$49:$K$58)</f>
        <v/>
      </c>
      <c r="L62" s="125">
        <f>SUMIF($J$49:$J$58,"תיק השקעות",$L$49:$L$58)</f>
        <v/>
      </c>
    </row>
    <row r="63"/>
    <row r="64">
      <c r="B64" s="67" t="inlineStr">
        <is>
          <t>עמודת "יעד %" צהובה — קובעים יחד עם המתכנן. הפער מראה לאן לתעל את החיסכון החדש.</t>
        </is>
      </c>
      <c r="H64" s="126" t="inlineStr">
        <is>
          <t>כל קרן בשורה נפרדת — כך רואים כמה יש לכל אחד. הסכומים מזינים את שורות הנכסים למעלה (אלא אם מולאה שנה במעקב היתרות, ואז היא גוברת).</t>
        </is>
      </c>
    </row>
    <row r="65"/>
    <row r="66" ht="21" customHeight="1" s="65">
      <c r="B66" s="82" t="inlineStr">
        <is>
          <t>מעקב יתרות — שנה אחר שנה  ·  ממלאים פעם בשנה, רואים את ההון צומח</t>
        </is>
      </c>
    </row>
    <row r="67">
      <c r="B67" s="67" t="inlineStr">
        <is>
          <t>בסוף כל שנה: מזינים כמה יש בכל אפיק. הטבלה העליונה של המאזן תמשוך אוטומטית את השנה האחרונה שמולאה — אין הזנה כפולה.</t>
        </is>
      </c>
    </row>
    <row r="68">
      <c r="B68" s="54" t="inlineStr">
        <is>
          <t>אפיק</t>
        </is>
      </c>
      <c r="C68" s="55">
        <f>IF(תזרים!$AB$1="",YEAR(TODAY())+0,YEAR(תזרים!C62)+0)</f>
        <v/>
      </c>
      <c r="D68" s="55">
        <f>IF(תזרים!$AB$1="",YEAR(TODAY())+1,YEAR(תזרים!C62)+1)</f>
        <v/>
      </c>
      <c r="E68" s="55">
        <f>IF(תזרים!$AB$1="",YEAR(TODAY())+2,YEAR(תזרים!C62)+2)</f>
        <v/>
      </c>
      <c r="F68" s="55">
        <f>IF(תזרים!$AB$1="",YEAR(TODAY())+3,YEAR(תזרים!C62)+3)</f>
        <v/>
      </c>
      <c r="G68" s="55">
        <f>IF(תזרים!$AB$1="",YEAR(TODAY())+4,YEAR(תזרים!C62)+4)</f>
        <v/>
      </c>
      <c r="H68" s="55">
        <f>IF(תזרים!$AB$1="",YEAR(TODAY())+5,YEAR(תזרים!C62)+5)</f>
        <v/>
      </c>
      <c r="I68" s="54" t="inlineStr">
        <is>
          <t>הפקדה חודשית</t>
        </is>
      </c>
    </row>
    <row r="69">
      <c r="B69" s="90">
        <f>IF(מאזן!B6="","",מאזן!B6)</f>
        <v/>
      </c>
      <c r="C69" s="73" t="n"/>
      <c r="D69" s="73" t="n"/>
      <c r="E69" s="73" t="n"/>
      <c r="F69" s="73" t="n"/>
      <c r="G69" s="73" t="n"/>
      <c r="H69" s="73" t="n"/>
      <c r="I69" s="73" t="n"/>
    </row>
    <row r="70">
      <c r="B70" s="90">
        <f>IF(מאזן!B7="","",מאזן!B7)</f>
        <v/>
      </c>
      <c r="C70" s="73" t="n"/>
      <c r="D70" s="73" t="n"/>
      <c r="E70" s="73" t="n"/>
      <c r="F70" s="73" t="n"/>
      <c r="G70" s="73" t="n"/>
      <c r="H70" s="73" t="n"/>
      <c r="I70" s="73" t="n"/>
    </row>
    <row r="71">
      <c r="B71" s="90">
        <f>IF(מאזן!B8="","",מאזן!B8)</f>
        <v/>
      </c>
      <c r="C71" s="73" t="n"/>
      <c r="D71" s="73" t="n"/>
      <c r="E71" s="73" t="n"/>
      <c r="F71" s="73" t="n"/>
      <c r="G71" s="73" t="n"/>
      <c r="H71" s="73" t="n"/>
      <c r="I71" s="73" t="n"/>
    </row>
    <row r="72">
      <c r="B72" s="90">
        <f>IF(מאזן!B9="","",מאזן!B9)</f>
        <v/>
      </c>
      <c r="C72" s="73" t="n"/>
      <c r="D72" s="73" t="n"/>
      <c r="E72" s="73" t="n"/>
      <c r="F72" s="73" t="n"/>
      <c r="G72" s="73" t="n"/>
      <c r="H72" s="73" t="n"/>
      <c r="I72" s="73" t="n"/>
    </row>
    <row r="73">
      <c r="B73" s="90">
        <f>IF(מאזן!B10="","",מאזן!B10)</f>
        <v/>
      </c>
      <c r="C73" s="73" t="n"/>
      <c r="D73" s="73" t="n"/>
      <c r="E73" s="73" t="n"/>
      <c r="F73" s="73" t="n"/>
      <c r="G73" s="73" t="n"/>
      <c r="H73" s="73" t="n"/>
      <c r="I73" s="73" t="n"/>
    </row>
    <row r="74">
      <c r="B74" s="90">
        <f>IF(מאזן!B11="","",מאזן!B11)</f>
        <v/>
      </c>
      <c r="C74" s="73" t="n"/>
      <c r="D74" s="73" t="n"/>
      <c r="E74" s="73" t="n"/>
      <c r="F74" s="73" t="n"/>
      <c r="G74" s="73" t="n"/>
      <c r="H74" s="73" t="n"/>
      <c r="I74" s="73" t="n"/>
    </row>
    <row r="75">
      <c r="B75" s="90">
        <f>IF(מאזן!B12="","",מאזן!B12)</f>
        <v/>
      </c>
      <c r="C75" s="73" t="n"/>
      <c r="D75" s="73" t="n"/>
      <c r="E75" s="73" t="n"/>
      <c r="F75" s="73" t="n"/>
      <c r="G75" s="73" t="n"/>
      <c r="H75" s="73" t="n"/>
      <c r="I75" s="73" t="n"/>
    </row>
    <row r="76">
      <c r="B76" s="90">
        <f>IF(מאזן!B13="","",מאזן!B13)</f>
        <v/>
      </c>
      <c r="C76" s="73" t="n"/>
      <c r="D76" s="73" t="n"/>
      <c r="E76" s="73" t="n"/>
      <c r="F76" s="73" t="n"/>
      <c r="G76" s="73" t="n"/>
      <c r="H76" s="73" t="n"/>
      <c r="I76" s="73" t="n"/>
    </row>
    <row r="77">
      <c r="B77" s="90">
        <f>IF(מאזן!B14="","",מאזן!B14)</f>
        <v/>
      </c>
      <c r="C77" s="73" t="n"/>
      <c r="D77" s="73" t="n"/>
      <c r="E77" s="73" t="n"/>
      <c r="F77" s="73" t="n"/>
      <c r="G77" s="73" t="n"/>
      <c r="H77" s="73" t="n"/>
      <c r="I77" s="73" t="n"/>
    </row>
    <row r="78">
      <c r="B78" s="90">
        <f>IF(מאזן!B15="","",מאזן!B15)</f>
        <v/>
      </c>
      <c r="C78" s="73" t="n"/>
      <c r="D78" s="73" t="n"/>
      <c r="E78" s="73" t="n"/>
      <c r="F78" s="73" t="n"/>
      <c r="G78" s="73" t="n"/>
      <c r="H78" s="73" t="n"/>
      <c r="I78" s="73" t="n"/>
    </row>
    <row r="79">
      <c r="B79" s="90">
        <f>IF(מאזן!B16="","",מאזן!B16)</f>
        <v/>
      </c>
      <c r="C79" s="73" t="n"/>
      <c r="D79" s="73" t="n"/>
      <c r="E79" s="73" t="n"/>
      <c r="F79" s="73" t="n"/>
      <c r="G79" s="73" t="n"/>
      <c r="H79" s="73" t="n"/>
      <c r="I79" s="73" t="n"/>
    </row>
    <row r="80">
      <c r="B80" s="56" t="inlineStr">
        <is>
          <t>סה"כ נכסים</t>
        </is>
      </c>
      <c r="C80" s="24">
        <f>IF(COUNT(C69:C79)=0,"",SUM(C69:C79))</f>
        <v/>
      </c>
      <c r="D80" s="24">
        <f>IF(COUNT(D69:D79)=0,"",SUM(D69:D79))</f>
        <v/>
      </c>
      <c r="E80" s="24">
        <f>IF(COUNT(E69:E79)=0,"",SUM(E69:E79))</f>
        <v/>
      </c>
      <c r="F80" s="24">
        <f>IF(COUNT(F69:F79)=0,"",SUM(F69:F79))</f>
        <v/>
      </c>
      <c r="G80" s="24">
        <f>IF(COUNT(G69:G79)=0,"",SUM(G69:G79))</f>
        <v/>
      </c>
      <c r="H80" s="24">
        <f>IF(COUNT(H69:H79)=0,"",SUM(H69:H79))</f>
        <v/>
      </c>
      <c r="I80" s="24">
        <f>SUM(I69:I79)</f>
        <v/>
      </c>
    </row>
    <row r="81">
      <c r="B81" s="23" t="inlineStr">
        <is>
          <t>סה"כ חובות</t>
        </is>
      </c>
      <c r="C81" s="73" t="n"/>
      <c r="D81" s="73" t="n"/>
      <c r="E81" s="73" t="n"/>
      <c r="F81" s="73" t="n"/>
      <c r="G81" s="73" t="n"/>
      <c r="H81" s="73" t="n"/>
    </row>
    <row r="82">
      <c r="B82" s="57" t="inlineStr">
        <is>
          <t>◄ השווי הנקי</t>
        </is>
      </c>
      <c r="C82" s="58">
        <f>IF(C80="","",C80-N(C81))</f>
        <v/>
      </c>
      <c r="D82" s="58">
        <f>IF(D80="","",D80-N(D81))</f>
        <v/>
      </c>
      <c r="E82" s="58">
        <f>IF(E80="","",E80-N(E81))</f>
        <v/>
      </c>
      <c r="F82" s="58">
        <f>IF(F80="","",F80-N(F81))</f>
        <v/>
      </c>
      <c r="G82" s="58">
        <f>IF(G80="","",G80-N(G81))</f>
        <v/>
      </c>
      <c r="H82" s="58">
        <f>IF(H80="","",H80-N(H81))</f>
        <v/>
      </c>
    </row>
    <row r="83"/>
    <row r="84">
      <c r="B84" s="23" t="inlineStr">
        <is>
          <t>גידול מהשנה הקודמת</t>
        </is>
      </c>
      <c r="C84" s="14" t="inlineStr">
        <is>
          <t>""</t>
        </is>
      </c>
      <c r="D84" s="40">
        <f>IF(OR(D82="",C82=""),"",D82-C82)</f>
        <v/>
      </c>
      <c r="E84" s="40">
        <f>IF(OR(E82="",D82=""),"",E82-D82)</f>
        <v/>
      </c>
      <c r="F84" s="40">
        <f>IF(OR(F82="",E82=""),"",F82-E82)</f>
        <v/>
      </c>
      <c r="G84" s="40">
        <f>IF(OR(G82="",F82=""),"",G82-F82)</f>
        <v/>
      </c>
      <c r="H84" s="40">
        <f>IF(OR(H82="",G82=""),"",H82-G82)</f>
        <v/>
      </c>
    </row>
    <row r="85">
      <c r="B85" s="90" t="inlineStr">
        <is>
          <t>מזה — הפקדות שוטפות</t>
        </is>
      </c>
      <c r="C85" s="14" t="inlineStr">
        <is>
          <t>""</t>
        </is>
      </c>
      <c r="D85" s="21">
        <f>IF(D84="","",$I$80*12)</f>
        <v/>
      </c>
      <c r="E85" s="21">
        <f>IF(E84="","",$I$80*12)</f>
        <v/>
      </c>
      <c r="F85" s="21">
        <f>IF(F84="","",$I$80*12)</f>
        <v/>
      </c>
      <c r="G85" s="21">
        <f>IF(G84="","",$I$80*12)</f>
        <v/>
      </c>
      <c r="H85" s="21">
        <f>IF(H84="","",$I$80*12)</f>
        <v/>
      </c>
    </row>
    <row r="86">
      <c r="B86" s="23" t="inlineStr">
        <is>
          <t>מזה — תשואה בפועל</t>
        </is>
      </c>
      <c r="C86" s="14" t="inlineStr">
        <is>
          <t>""</t>
        </is>
      </c>
      <c r="D86" s="40">
        <f>IF(D84="","",D84-D85)</f>
        <v/>
      </c>
      <c r="E86" s="40">
        <f>IF(E84="","",E84-E85)</f>
        <v/>
      </c>
      <c r="F86" s="40">
        <f>IF(F84="","",F84-F85)</f>
        <v/>
      </c>
      <c r="G86" s="40">
        <f>IF(G84="","",G84-G85)</f>
        <v/>
      </c>
      <c r="H86" s="40">
        <f>IF(H84="","",H84-H85)</f>
        <v/>
      </c>
    </row>
    <row r="87">
      <c r="B87" s="90" t="inlineStr">
        <is>
          <t>% תשואה על ההון</t>
        </is>
      </c>
      <c r="C87" s="14" t="inlineStr">
        <is>
          <t>""</t>
        </is>
      </c>
      <c r="D87" s="117">
        <f>IF(OR(D86="",N(C80)=0),"",D86/C80)</f>
        <v/>
      </c>
      <c r="E87" s="117">
        <f>IF(OR(E86="",N(D80)=0),"",E86/D80)</f>
        <v/>
      </c>
      <c r="F87" s="117">
        <f>IF(OR(F86="",N(E80)=0),"",F86/E80)</f>
        <v/>
      </c>
      <c r="G87" s="117">
        <f>IF(OR(G86="",N(F80)=0),"",G86/F80)</f>
        <v/>
      </c>
      <c r="H87" s="117">
        <f>IF(OR(H86="",N(G80)=0),"",H86/G80)</f>
        <v/>
      </c>
    </row>
    <row r="88">
      <c r="B88" s="23" t="inlineStr">
        <is>
          <t>% מהמטרות שממומן</t>
        </is>
      </c>
      <c r="C88" s="59">
        <f>IF(OR(C80="",N('מטרות ויעדים'!$J$17)=0),"",SUM(C69:C74)/'מטרות ויעדים'!$J$17)</f>
        <v/>
      </c>
      <c r="D88" s="59">
        <f>IF(OR(D80="",N('מטרות ויעדים'!$J$17)=0),"",SUM(D69:D74)/'מטרות ויעדים'!$J$17)</f>
        <v/>
      </c>
      <c r="E88" s="59">
        <f>IF(OR(E80="",N('מטרות ויעדים'!$J$17)=0),"",SUM(E69:E74)/'מטרות ויעדים'!$J$17)</f>
        <v/>
      </c>
      <c r="F88" s="59">
        <f>IF(OR(F80="",N('מטרות ויעדים'!$J$17)=0),"",SUM(F69:F74)/'מטרות ויעדים'!$J$17)</f>
        <v/>
      </c>
      <c r="G88" s="59">
        <f>IF(OR(G80="",N('מטרות ויעדים'!$J$17)=0),"",SUM(G69:G74)/'מטרות ויעדים'!$J$17)</f>
        <v/>
      </c>
      <c r="H88" s="59">
        <f>IF(OR(H80="",N('מטרות ויעדים'!$J$17)=0),"",SUM(H69:H74)/'מטרות ויעדים'!$J$17)</f>
        <v/>
      </c>
    </row>
    <row r="89"/>
    <row r="90">
      <c r="B90" s="67" t="inlineStr">
        <is>
          <t>"תשואה בפועל" = הגידול בשווי פחות מה שהפקדתם. אם הפקדתם 60,000 והשווי גדל ב-45,000 — התיק הפסיד. זה המספר שאומר אם ההשקעות באמת עובדות.</t>
        </is>
      </c>
    </row>
  </sheetData>
  <mergeCells count="28">
    <mergeCell ref="B4:F4"/>
    <mergeCell ref="H60:J60"/>
    <mergeCell ref="B62:F62"/>
    <mergeCell ref="H20:L20"/>
    <mergeCell ref="H10:L10"/>
    <mergeCell ref="B90:I90"/>
    <mergeCell ref="H61:J61"/>
    <mergeCell ref="B46:F46"/>
    <mergeCell ref="B66:I66"/>
    <mergeCell ref="B27:C27"/>
    <mergeCell ref="H4:L4"/>
    <mergeCell ref="B58:F58"/>
    <mergeCell ref="B2:F2"/>
    <mergeCell ref="B48:F48"/>
    <mergeCell ref="B67:I67"/>
    <mergeCell ref="B1:F1"/>
    <mergeCell ref="H62:J62"/>
    <mergeCell ref="B32:F32"/>
    <mergeCell ref="K8:L8"/>
    <mergeCell ref="B19:F19"/>
    <mergeCell ref="B28:C28"/>
    <mergeCell ref="H47:L47"/>
    <mergeCell ref="B30:F30"/>
    <mergeCell ref="K7:L7"/>
    <mergeCell ref="B64:F64"/>
    <mergeCell ref="H64:L65"/>
    <mergeCell ref="K6:L6"/>
    <mergeCell ref="B50:F50"/>
  </mergeCells>
  <conditionalFormatting sqref="D84:H84">
    <cfRule type="expression" priority="3" dxfId="0">
      <formula>AND(D84&lt;&gt;"",D84&gt;0)</formula>
    </cfRule>
  </conditionalFormatting>
  <conditionalFormatting sqref="D86:H86">
    <cfRule type="expression" priority="2" dxfId="1">
      <formula>AND(D86&lt;&gt;"",D86&lt;0)</formula>
    </cfRule>
  </conditionalFormatting>
  <conditionalFormatting sqref="F52:F56">
    <cfRule type="expression" priority="1" dxfId="5">
      <formula>AND(F52&lt;&gt;"",ABS(F52)&gt;0.1)</formula>
    </cfRule>
  </conditionalFormatting>
  <dataValidations count="2">
    <dataValidation sqref="I49 I50 I51 I52 I53 I54 I55 I56 I57 I58" showDropDown="0" showInputMessage="0" showErrorMessage="0" allowBlank="1" type="list">
      <formula1>=מאזן!$C$33:$D$33</formula1>
    </dataValidation>
    <dataValidation sqref="J49 J50 J51 J52 J53 J54 J55 J56 J57 J58" showDropDown="0" showInputMessage="0" showErrorMessage="0" allowBlank="1" type="list">
      <formula1>"קרן השתלמות,גמל להשקעה,תיק השקעות"</formula1>
    </dataValidation>
  </dataValidations>
  <hyperlinks>
    <hyperlink ref="I1" location="'בית'!A1" display="🏠 בית"/>
  </hyperlink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6E8FA6"/>
    <outlinePr summaryBelow="1" summaryRight="1"/>
    <pageSetUpPr/>
  </sheetPr>
  <dimension ref="A1:P28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22" customWidth="1" style="65" min="2" max="2"/>
    <col width="8" customWidth="1" style="65" min="3" max="3"/>
    <col width="7" customWidth="1" style="65" min="4" max="4"/>
    <col width="11" customWidth="1" style="65" min="5" max="5"/>
    <col width="12" customWidth="1" style="65" min="6" max="6"/>
    <col width="9" customWidth="1" style="65" min="7" max="7"/>
    <col width="8" customWidth="1" style="65" min="8" max="8"/>
    <col width="9" customWidth="1" style="65" min="9" max="9"/>
    <col width="14" customWidth="1" style="65" min="10" max="10"/>
    <col width="11" customWidth="1" style="65" min="11" max="12"/>
    <col width="13" customWidth="1" style="65" min="13" max="13"/>
    <col width="12" customWidth="1" style="65" min="14" max="14"/>
    <col width="9" customWidth="1" style="65" min="15" max="15"/>
    <col width="16" customWidth="1" style="65" min="16" max="16"/>
  </cols>
  <sheetData>
    <row r="1" ht="28" customHeight="1" s="65">
      <c r="B1" s="70" t="inlineStr">
        <is>
          <t>מטרות ויעדים — לתת צבע לכסף</t>
        </is>
      </c>
      <c r="I1" s="15" t="inlineStr">
        <is>
          <t>🏠 בית</t>
        </is>
      </c>
    </row>
    <row r="2">
      <c r="B2" s="64" t="inlineStr">
        <is>
          <t>כל מטרה: כמה תעלה באמת, כמה צריך היום, וכמה מפקידים כל חודש.</t>
        </is>
      </c>
    </row>
    <row r="3">
      <c r="B3" s="90" t="inlineStr">
        <is>
          <t>שנת הבסיס:</t>
        </is>
      </c>
      <c r="C3" s="13">
        <f>YEAR(תזרים!C62)</f>
        <v/>
      </c>
      <c r="D3" s="90" t="inlineStr">
        <is>
          <t>אינפלציה שנתית:</t>
        </is>
      </c>
      <c r="E3" s="113" t="n">
        <v>0.02</v>
      </c>
      <c r="F3" s="67" t="inlineStr">
        <is>
          <t>עלות עתידית = היום × אינפלציה. תשואה נטו = ברוטו − אינפלציה − דמי ניהול.</t>
        </is>
      </c>
    </row>
    <row r="4" ht="28" customHeight="1" s="65">
      <c r="B4" s="74" t="inlineStr">
        <is>
          <t>מטרה</t>
        </is>
      </c>
      <c r="C4" s="74" t="inlineStr">
        <is>
          <t>שנת יעד</t>
        </is>
      </c>
      <c r="D4" s="74" t="inlineStr">
        <is>
          <t>שנים</t>
        </is>
      </c>
      <c r="E4" s="74" t="inlineStr">
        <is>
          <t>עלות היום</t>
        </is>
      </c>
      <c r="F4" s="74" t="inlineStr">
        <is>
          <t>עלות עתידית</t>
        </is>
      </c>
      <c r="G4" s="74" t="inlineStr">
        <is>
          <t>תשואה ברוטו</t>
        </is>
      </c>
      <c r="H4" s="74" t="inlineStr">
        <is>
          <t>דמי ניהול</t>
        </is>
      </c>
      <c r="I4" s="74" t="inlineStr">
        <is>
          <t>תשואה נטו</t>
        </is>
      </c>
      <c r="J4" s="74" t="inlineStr">
        <is>
          <t>צריך היום — חד-פעמי</t>
        </is>
      </c>
      <c r="K4" s="74" t="inlineStr">
        <is>
          <t>יש כבר ₪</t>
        </is>
      </c>
      <c r="L4" s="74" t="inlineStr">
        <is>
          <t>◄ חסר</t>
        </is>
      </c>
      <c r="M4" s="74" t="inlineStr">
        <is>
          <t>להפקיד כל חודש</t>
        </is>
      </c>
      <c r="N4" s="74" t="inlineStr">
        <is>
          <t>מקצים בפועל ₪</t>
        </is>
      </c>
      <c r="O4" s="74" t="inlineStr">
        <is>
          <t>פער</t>
        </is>
      </c>
      <c r="P4" s="74" t="inlineStr">
        <is>
          <t>הערות</t>
        </is>
      </c>
    </row>
    <row r="5">
      <c r="B5" s="90">
        <f>IF(שאלון!B50="","",שאלון!B50)</f>
        <v/>
      </c>
      <c r="C5" s="30">
        <f>IF(שאלון!C50="","",שאלון!C50)</f>
        <v/>
      </c>
      <c r="D5" s="30">
        <f>IF(C5="","",MAX(1,C5-$C$3))</f>
        <v/>
      </c>
      <c r="E5" s="21">
        <f>IF(שאלון!D50="","",שאלון!D50)</f>
        <v/>
      </c>
      <c r="F5" s="21">
        <f>IF(OR(E5="",D5=""),"",E5*(1+$E$3)^D5)</f>
        <v/>
      </c>
      <c r="G5" s="113" t="n"/>
      <c r="H5" s="113" t="n">
        <v>0.007</v>
      </c>
      <c r="I5" s="117">
        <f>IF(G5="","",G5-$E$3-H5)</f>
        <v/>
      </c>
      <c r="J5" s="21">
        <f>IF(OR(F5="",I5=""),"",F5/(1+I5)^D5)</f>
        <v/>
      </c>
      <c r="K5" s="73" t="n"/>
      <c r="L5" s="40">
        <f>IF(J5="","",MAX(0,J5-N(K5)))</f>
        <v/>
      </c>
      <c r="M5" s="40">
        <f>IF(F5="","",IF(I5="","",MAX(0,IFERROR(-PMT(I5/12,D5*12,-N(K5),F5),IFERROR((F5-N(K5))/(D5*12),0)))))</f>
        <v/>
      </c>
      <c r="N5" s="73" t="n"/>
      <c r="O5" s="40">
        <f>IF(OR(M5="",M5=0),"",IF(N(N5)&gt;=M5,"✔",M5-N(N5)))</f>
        <v/>
      </c>
      <c r="P5" s="72" t="n"/>
    </row>
    <row r="6">
      <c r="B6" s="90">
        <f>IF(שאלון!B51="","",שאלון!B51)</f>
        <v/>
      </c>
      <c r="C6" s="30">
        <f>IF(שאלון!C51="","",שאלון!C51)</f>
        <v/>
      </c>
      <c r="D6" s="30">
        <f>IF(C6="","",MAX(1,C6-$C$3))</f>
        <v/>
      </c>
      <c r="E6" s="21">
        <f>IF(שאלון!D51="","",שאלון!D51)</f>
        <v/>
      </c>
      <c r="F6" s="21">
        <f>IF(OR(E6="",D6=""),"",E6*(1+$E$3)^D6)</f>
        <v/>
      </c>
      <c r="G6" s="113" t="n"/>
      <c r="H6" s="113" t="n">
        <v>0.007</v>
      </c>
      <c r="I6" s="117">
        <f>IF(G6="","",G6-$E$3-H6)</f>
        <v/>
      </c>
      <c r="J6" s="21">
        <f>IF(OR(F6="",I6=""),"",F6/(1+I6)^D6)</f>
        <v/>
      </c>
      <c r="K6" s="73" t="n"/>
      <c r="L6" s="40">
        <f>IF(J6="","",MAX(0,J6-N(K6)))</f>
        <v/>
      </c>
      <c r="M6" s="40">
        <f>IF(F6="","",IF(I6="","",MAX(0,IFERROR(-PMT(I6/12,D6*12,-N(K6),F6),IFERROR((F6-N(K6))/(D6*12),0)))))</f>
        <v/>
      </c>
      <c r="N6" s="73" t="n"/>
      <c r="O6" s="40">
        <f>IF(OR(M6="",M6=0),"",IF(N(N6)&gt;=M6,"✔",M6-N(N6)))</f>
        <v/>
      </c>
      <c r="P6" s="72" t="n"/>
    </row>
    <row r="7">
      <c r="B7" s="90">
        <f>IF(שאלון!B52="","",שאלון!B52)</f>
        <v/>
      </c>
      <c r="C7" s="30">
        <f>IF(שאלון!C52="","",שאלון!C52)</f>
        <v/>
      </c>
      <c r="D7" s="30">
        <f>IF(C7="","",MAX(1,C7-$C$3))</f>
        <v/>
      </c>
      <c r="E7" s="21">
        <f>IF(שאלון!D52="","",שאלון!D52)</f>
        <v/>
      </c>
      <c r="F7" s="21">
        <f>IF(OR(E7="",D7=""),"",E7*(1+$E$3)^D7)</f>
        <v/>
      </c>
      <c r="G7" s="113" t="n"/>
      <c r="H7" s="113" t="n">
        <v>0.007</v>
      </c>
      <c r="I7" s="117">
        <f>IF(G7="","",G7-$E$3-H7)</f>
        <v/>
      </c>
      <c r="J7" s="21">
        <f>IF(OR(F7="",I7=""),"",F7/(1+I7)^D7)</f>
        <v/>
      </c>
      <c r="K7" s="73" t="n"/>
      <c r="L7" s="40">
        <f>IF(J7="","",MAX(0,J7-N(K7)))</f>
        <v/>
      </c>
      <c r="M7" s="40">
        <f>IF(F7="","",IF(I7="","",MAX(0,IFERROR(-PMT(I7/12,D7*12,-N(K7),F7),IFERROR((F7-N(K7))/(D7*12),0)))))</f>
        <v/>
      </c>
      <c r="N7" s="73" t="n"/>
      <c r="O7" s="40">
        <f>IF(OR(M7="",M7=0),"",IF(N(N7)&gt;=M7,"✔",M7-N(N7)))</f>
        <v/>
      </c>
      <c r="P7" s="72" t="n"/>
    </row>
    <row r="8">
      <c r="B8" s="90">
        <f>IF(שאלון!B53="","",שאלון!B53)</f>
        <v/>
      </c>
      <c r="C8" s="30">
        <f>IF(שאלון!C53="","",שאלון!C53)</f>
        <v/>
      </c>
      <c r="D8" s="30">
        <f>IF(C8="","",MAX(1,C8-$C$3))</f>
        <v/>
      </c>
      <c r="E8" s="21">
        <f>IF(שאלון!D53="","",שאלון!D53)</f>
        <v/>
      </c>
      <c r="F8" s="21">
        <f>IF(OR(E8="",D8=""),"",E8*(1+$E$3)^D8)</f>
        <v/>
      </c>
      <c r="G8" s="113" t="n"/>
      <c r="H8" s="113" t="n">
        <v>0.007</v>
      </c>
      <c r="I8" s="117">
        <f>IF(G8="","",G8-$E$3-H8)</f>
        <v/>
      </c>
      <c r="J8" s="21">
        <f>IF(OR(F8="",I8=""),"",F8/(1+I8)^D8)</f>
        <v/>
      </c>
      <c r="K8" s="73" t="n"/>
      <c r="L8" s="40">
        <f>IF(J8="","",MAX(0,J8-N(K8)))</f>
        <v/>
      </c>
      <c r="M8" s="40">
        <f>IF(F8="","",IF(I8="","",MAX(0,IFERROR(-PMT(I8/12,D8*12,-N(K8),F8),IFERROR((F8-N(K8))/(D8*12),0)))))</f>
        <v/>
      </c>
      <c r="N8" s="73" t="n"/>
      <c r="O8" s="40">
        <f>IF(OR(M8="",M8=0),"",IF(N(N8)&gt;=M8,"✔",M8-N(N8)))</f>
        <v/>
      </c>
      <c r="P8" s="72" t="n"/>
    </row>
    <row r="9">
      <c r="B9" s="90">
        <f>IF(שאלון!B54="","",שאלון!B54)</f>
        <v/>
      </c>
      <c r="C9" s="30">
        <f>IF(שאלון!C54="","",שאלון!C54)</f>
        <v/>
      </c>
      <c r="D9" s="30">
        <f>IF(C9="","",MAX(1,C9-$C$3))</f>
        <v/>
      </c>
      <c r="E9" s="21">
        <f>IF(שאלון!D54="","",שאלון!D54)</f>
        <v/>
      </c>
      <c r="F9" s="21">
        <f>IF(OR(E9="",D9=""),"",E9*(1+$E$3)^D9)</f>
        <v/>
      </c>
      <c r="G9" s="113" t="n"/>
      <c r="H9" s="113" t="n">
        <v>0.007</v>
      </c>
      <c r="I9" s="117">
        <f>IF(G9="","",G9-$E$3-H9)</f>
        <v/>
      </c>
      <c r="J9" s="21">
        <f>IF(OR(F9="",I9=""),"",F9/(1+I9)^D9)</f>
        <v/>
      </c>
      <c r="K9" s="73" t="n"/>
      <c r="L9" s="40">
        <f>IF(J9="","",MAX(0,J9-N(K9)))</f>
        <v/>
      </c>
      <c r="M9" s="40">
        <f>IF(F9="","",IF(I9="","",MAX(0,IFERROR(-PMT(I9/12,D9*12,-N(K9),F9),IFERROR((F9-N(K9))/(D9*12),0)))))</f>
        <v/>
      </c>
      <c r="N9" s="73" t="n"/>
      <c r="O9" s="40">
        <f>IF(OR(M9="",M9=0),"",IF(N(N9)&gt;=M9,"✔",M9-N(N9)))</f>
        <v/>
      </c>
      <c r="P9" s="72" t="n"/>
    </row>
    <row r="10">
      <c r="B10" s="90">
        <f>IF(שאלון!B55="","",שאלון!B55)</f>
        <v/>
      </c>
      <c r="C10" s="30">
        <f>IF(שאלון!C55="","",שאלון!C55)</f>
        <v/>
      </c>
      <c r="D10" s="30">
        <f>IF(C10="","",MAX(1,C10-$C$3))</f>
        <v/>
      </c>
      <c r="E10" s="21">
        <f>IF(שאלון!D55="","",שאלון!D55)</f>
        <v/>
      </c>
      <c r="F10" s="21">
        <f>IF(OR(E10="",D10=""),"",E10*(1+$E$3)^D10)</f>
        <v/>
      </c>
      <c r="G10" s="113" t="n"/>
      <c r="H10" s="113" t="n">
        <v>0.007</v>
      </c>
      <c r="I10" s="117">
        <f>IF(G10="","",G10-$E$3-H10)</f>
        <v/>
      </c>
      <c r="J10" s="21">
        <f>IF(OR(F10="",I10=""),"",F10/(1+I10)^D10)</f>
        <v/>
      </c>
      <c r="K10" s="73" t="n"/>
      <c r="L10" s="40">
        <f>IF(J10="","",MAX(0,J10-N(K10)))</f>
        <v/>
      </c>
      <c r="M10" s="40">
        <f>IF(F10="","",IF(I10="","",MAX(0,IFERROR(-PMT(I10/12,D10*12,-N(K10),F10),IFERROR((F10-N(K10))/(D10*12),0)))))</f>
        <v/>
      </c>
      <c r="N10" s="73" t="n"/>
      <c r="O10" s="40">
        <f>IF(OR(M10="",M10=0),"",IF(N(N10)&gt;=M10,"✔",M10-N(N10)))</f>
        <v/>
      </c>
      <c r="P10" s="72" t="n"/>
    </row>
    <row r="11">
      <c r="B11" s="90">
        <f>IF(שאלון!B56="","",שאלון!B56)</f>
        <v/>
      </c>
      <c r="C11" s="30">
        <f>IF(שאלון!C56="","",שאלון!C56)</f>
        <v/>
      </c>
      <c r="D11" s="30">
        <f>IF(C11="","",MAX(1,C11-$C$3))</f>
        <v/>
      </c>
      <c r="E11" s="21">
        <f>IF(שאלון!D56="","",שאלון!D56)</f>
        <v/>
      </c>
      <c r="F11" s="21">
        <f>IF(OR(E11="",D11=""),"",E11*(1+$E$3)^D11)</f>
        <v/>
      </c>
      <c r="G11" s="113" t="n"/>
      <c r="H11" s="113" t="n">
        <v>0.007</v>
      </c>
      <c r="I11" s="117">
        <f>IF(G11="","",G11-$E$3-H11)</f>
        <v/>
      </c>
      <c r="J11" s="21">
        <f>IF(OR(F11="",I11=""),"",F11/(1+I11)^D11)</f>
        <v/>
      </c>
      <c r="K11" s="73" t="n"/>
      <c r="L11" s="40">
        <f>IF(J11="","",MAX(0,J11-N(K11)))</f>
        <v/>
      </c>
      <c r="M11" s="40">
        <f>IF(F11="","",IF(I11="","",MAX(0,IFERROR(-PMT(I11/12,D11*12,-N(K11),F11),IFERROR((F11-N(K11))/(D11*12),0)))))</f>
        <v/>
      </c>
      <c r="N11" s="73" t="n"/>
      <c r="O11" s="40">
        <f>IF(OR(M11="",M11=0),"",IF(N(N11)&gt;=M11,"✔",M11-N(N11)))</f>
        <v/>
      </c>
      <c r="P11" s="72" t="n"/>
    </row>
    <row r="12">
      <c r="B12" s="90">
        <f>IF(שאלון!B57="","",שאלון!B57)</f>
        <v/>
      </c>
      <c r="C12" s="30">
        <f>IF(שאלון!C57="","",שאלון!C57)</f>
        <v/>
      </c>
      <c r="D12" s="30">
        <f>IF(C12="","",MAX(1,C12-$C$3))</f>
        <v/>
      </c>
      <c r="E12" s="21">
        <f>IF(שאלון!D57="","",שאלון!D57)</f>
        <v/>
      </c>
      <c r="F12" s="21">
        <f>IF(OR(E12="",D12=""),"",E12*(1+$E$3)^D12)</f>
        <v/>
      </c>
      <c r="G12" s="113" t="n"/>
      <c r="H12" s="113" t="n">
        <v>0.007</v>
      </c>
      <c r="I12" s="117">
        <f>IF(G12="","",G12-$E$3-H12)</f>
        <v/>
      </c>
      <c r="J12" s="21">
        <f>IF(OR(F12="",I12=""),"",F12/(1+I12)^D12)</f>
        <v/>
      </c>
      <c r="K12" s="73" t="n"/>
      <c r="L12" s="40">
        <f>IF(J12="","",MAX(0,J12-N(K12)))</f>
        <v/>
      </c>
      <c r="M12" s="40">
        <f>IF(F12="","",IF(I12="","",MAX(0,IFERROR(-PMT(I12/12,D12*12,-N(K12),F12),IFERROR((F12-N(K12))/(D12*12),0)))))</f>
        <v/>
      </c>
      <c r="N12" s="73" t="n"/>
      <c r="O12" s="40">
        <f>IF(OR(M12="",M12=0),"",IF(N(N12)&gt;=M12,"✔",M12-N(N12)))</f>
        <v/>
      </c>
      <c r="P12" s="72" t="n"/>
    </row>
    <row r="13">
      <c r="B13" s="90">
        <f>IF(שאלון!B58="","",שאלון!B58)</f>
        <v/>
      </c>
      <c r="C13" s="30">
        <f>IF(שאלון!C58="","",שאלון!C58)</f>
        <v/>
      </c>
      <c r="D13" s="30">
        <f>IF(C13="","",MAX(1,C13-$C$3))</f>
        <v/>
      </c>
      <c r="E13" s="21">
        <f>IF(שאלון!D58="","",שאלון!D58)</f>
        <v/>
      </c>
      <c r="F13" s="21">
        <f>IF(OR(E13="",D13=""),"",E13*(1+$E$3)^D13)</f>
        <v/>
      </c>
      <c r="G13" s="113" t="n"/>
      <c r="H13" s="113" t="n">
        <v>0.007</v>
      </c>
      <c r="I13" s="117">
        <f>IF(G13="","",G13-$E$3-H13)</f>
        <v/>
      </c>
      <c r="J13" s="21">
        <f>IF(OR(F13="",I13=""),"",F13/(1+I13)^D13)</f>
        <v/>
      </c>
      <c r="K13" s="73" t="n"/>
      <c r="L13" s="40">
        <f>IF(J13="","",MAX(0,J13-N(K13)))</f>
        <v/>
      </c>
      <c r="M13" s="40">
        <f>IF(F13="","",IF(I13="","",MAX(0,IFERROR(-PMT(I13/12,D13*12,-N(K13),F13),IFERROR((F13-N(K13))/(D13*12),0)))))</f>
        <v/>
      </c>
      <c r="N13" s="73" t="n"/>
      <c r="O13" s="40">
        <f>IF(OR(M13="",M13=0),"",IF(N(N13)&gt;=M13,"✔",M13-N(N13)))</f>
        <v/>
      </c>
      <c r="P13" s="72" t="n"/>
    </row>
    <row r="14">
      <c r="B14" s="90">
        <f>IF(שאלון!B59="","",שאלון!B59)</f>
        <v/>
      </c>
      <c r="C14" s="30">
        <f>IF(שאלון!C59="","",שאלון!C59)</f>
        <v/>
      </c>
      <c r="D14" s="30">
        <f>IF(C14="","",MAX(1,C14-$C$3))</f>
        <v/>
      </c>
      <c r="E14" s="21">
        <f>IF(שאלון!D59="","",שאלון!D59)</f>
        <v/>
      </c>
      <c r="F14" s="21">
        <f>IF(OR(E14="",D14=""),"",E14*(1+$E$3)^D14)</f>
        <v/>
      </c>
      <c r="G14" s="113" t="n"/>
      <c r="H14" s="113" t="n">
        <v>0.007</v>
      </c>
      <c r="I14" s="117">
        <f>IF(G14="","",G14-$E$3-H14)</f>
        <v/>
      </c>
      <c r="J14" s="21">
        <f>IF(OR(F14="",I14=""),"",F14/(1+I14)^D14)</f>
        <v/>
      </c>
      <c r="K14" s="73" t="n"/>
      <c r="L14" s="40">
        <f>IF(J14="","",MAX(0,J14-N(K14)))</f>
        <v/>
      </c>
      <c r="M14" s="40">
        <f>IF(F14="","",IF(I14="","",MAX(0,IFERROR(-PMT(I14/12,D14*12,-N(K14),F14),IFERROR((F14-N(K14))/(D14*12),0)))))</f>
        <v/>
      </c>
      <c r="N14" s="73" t="n"/>
      <c r="O14" s="40">
        <f>IF(OR(M14="",M14=0),"",IF(N(N14)&gt;=M14,"✔",M14-N(N14)))</f>
        <v/>
      </c>
      <c r="P14" s="72" t="n"/>
    </row>
    <row r="15">
      <c r="B15" s="72" t="n"/>
      <c r="C15" s="19" t="n"/>
      <c r="D15" s="30">
        <f>IF(C15="","",MAX(1,C15-$C$3))</f>
        <v/>
      </c>
      <c r="E15" s="73" t="n"/>
      <c r="F15" s="21">
        <f>IF(OR(E15="",D15=""),"",E15*(1+$E$3)^D15)</f>
        <v/>
      </c>
      <c r="G15" s="113" t="n"/>
      <c r="H15" s="113" t="n">
        <v>0.007</v>
      </c>
      <c r="I15" s="117">
        <f>IF(G15="","",G15-$E$3-H15)</f>
        <v/>
      </c>
      <c r="J15" s="21">
        <f>IF(OR(F15="",I15=""),"",F15/(1+I15)^D15)</f>
        <v/>
      </c>
      <c r="K15" s="73" t="n"/>
      <c r="L15" s="40">
        <f>IF(J15="","",MAX(0,J15-N(K15)))</f>
        <v/>
      </c>
      <c r="M15" s="40">
        <f>IF(F15="","",IF(I15="","",MAX(0,IFERROR(-PMT(I15/12,D15*12,-N(K15),F15),IFERROR((F15-N(K15))/(D15*12),0)))))</f>
        <v/>
      </c>
      <c r="N15" s="73" t="n"/>
      <c r="O15" s="40">
        <f>IF(OR(M15="",M15=0),"",IF(N(N15)&gt;=M15,"✔",M15-N(N15)))</f>
        <v/>
      </c>
      <c r="P15" s="72" t="n"/>
    </row>
    <row r="16">
      <c r="B16" s="72" t="n"/>
      <c r="C16" s="19" t="n"/>
      <c r="D16" s="30">
        <f>IF(C16="","",MAX(1,C16-$C$3))</f>
        <v/>
      </c>
      <c r="E16" s="73" t="n"/>
      <c r="F16" s="21">
        <f>IF(OR(E16="",D16=""),"",E16*(1+$E$3)^D16)</f>
        <v/>
      </c>
      <c r="G16" s="113" t="n"/>
      <c r="H16" s="113" t="n">
        <v>0.007</v>
      </c>
      <c r="I16" s="117">
        <f>IF(G16="","",G16-$E$3-H16)</f>
        <v/>
      </c>
      <c r="J16" s="21">
        <f>IF(OR(F16="",I16=""),"",F16/(1+I16)^D16)</f>
        <v/>
      </c>
      <c r="K16" s="73" t="n"/>
      <c r="L16" s="40">
        <f>IF(J16="","",MAX(0,J16-N(K16)))</f>
        <v/>
      </c>
      <c r="M16" s="40">
        <f>IF(F16="","",IF(I16="","",MAX(0,IFERROR(-PMT(I16/12,D16*12,-N(K16),F16),IFERROR((F16-N(K16))/(D16*12),0)))))</f>
        <v/>
      </c>
      <c r="N16" s="73" t="n"/>
      <c r="O16" s="40">
        <f>IF(OR(M16="",M16=0),"",IF(N(N16)&gt;=M16,"✔",M16-N(N16)))</f>
        <v/>
      </c>
      <c r="P16" s="72" t="n"/>
    </row>
    <row r="17">
      <c r="B17" s="23" t="inlineStr">
        <is>
          <t>סה"כ</t>
        </is>
      </c>
      <c r="E17" s="24">
        <f>SUM(E5:E16)</f>
        <v/>
      </c>
      <c r="F17" s="24">
        <f>SUM(F5:F16)</f>
        <v/>
      </c>
      <c r="J17" s="24">
        <f>SUM(J5:J16)</f>
        <v/>
      </c>
      <c r="K17" s="24">
        <f>SUM(K5:K16)</f>
        <v/>
      </c>
      <c r="L17" s="24">
        <f>SUM(L5:L16)</f>
        <v/>
      </c>
      <c r="M17" s="24">
        <f>SUM(M5:M16)</f>
        <v/>
      </c>
      <c r="N17" s="24">
        <f>SUM(N5:N16)</f>
        <v/>
      </c>
    </row>
    <row r="18"/>
    <row r="19" ht="20" customHeight="1" s="65">
      <c r="B19" s="76" t="inlineStr">
        <is>
          <t>① הפער ההוני — כמה כסף צריך שיהיה מושקע היום</t>
        </is>
      </c>
    </row>
    <row r="20">
      <c r="B20" s="23" t="inlineStr">
        <is>
          <t>צריך היום (מהוון)</t>
        </is>
      </c>
      <c r="C20" s="37">
        <f>J17</f>
        <v/>
      </c>
      <c r="E20" s="23" t="inlineStr">
        <is>
          <t>מזה כבר משויך</t>
        </is>
      </c>
      <c r="F20" s="26">
        <f>K17</f>
        <v/>
      </c>
      <c r="H20" s="23" t="inlineStr">
        <is>
          <t>◄ פער הוני</t>
        </is>
      </c>
      <c r="I20" s="41">
        <f>MAX(0,J17-K17)</f>
        <v/>
      </c>
      <c r="K20" s="85">
        <f>IF(J17=0,"",IF(I20=0,"🟢 כל ההון למטרות כבר מושקע","עוד "&amp;TEXT(I20,"#,##0")&amp;" ₪ חסרים כהון — או שנשלים אותם בהפקדה חודשית"))</f>
        <v/>
      </c>
    </row>
    <row r="21" ht="20" customHeight="1" s="65">
      <c r="B21" s="76" t="inlineStr">
        <is>
          <t>② הפער התזרימי — כמה צריך להפקיד כל חודש</t>
        </is>
      </c>
    </row>
    <row r="22">
      <c r="B22" s="23" t="inlineStr">
        <is>
          <t>צריך להפקיד בחודש</t>
        </is>
      </c>
      <c r="C22" s="37">
        <f>M17</f>
        <v/>
      </c>
      <c r="E22" s="23" t="inlineStr">
        <is>
          <t>מקצים בפועל</t>
        </is>
      </c>
      <c r="F22" s="26">
        <f>N17</f>
        <v/>
      </c>
      <c r="H22" s="23" t="inlineStr">
        <is>
          <t>◄ פער תזרימי</t>
        </is>
      </c>
      <c r="I22" s="41">
        <f>MAX(0,M17-N17)</f>
        <v/>
      </c>
      <c r="K22" s="85">
        <f>IF(M17=0,"",IF(I22=0,"🟢 כל המטרות מקבלות את ההפקדה שהן צריכות","חסרים "&amp;TEXT(I22,"#,##0")&amp;" ₪ בחודש כדי לכסות את כל המטרות"))</f>
        <v/>
      </c>
    </row>
    <row r="23" ht="20" customHeight="1" s="65">
      <c r="B23" s="75" t="inlineStr">
        <is>
          <t>③ הארנק — התזרים הפנוי שיש לחלק</t>
        </is>
      </c>
    </row>
    <row r="24">
      <c r="B24" s="23" t="inlineStr">
        <is>
          <t>תזרים פנוי (מהמיפוי)</t>
        </is>
      </c>
      <c r="C24" s="37">
        <f>IFERROR(N(מיפוי!D59),0)</f>
        <v/>
      </c>
      <c r="E24" s="23" t="inlineStr">
        <is>
          <t>מזה חולק למטרות</t>
        </is>
      </c>
      <c r="F24" s="26">
        <f>N17</f>
        <v/>
      </c>
      <c r="H24" s="23" t="inlineStr">
        <is>
          <t>◄ נשאר לחלוקה</t>
        </is>
      </c>
      <c r="I24" s="37">
        <f>C24-N17</f>
        <v/>
      </c>
      <c r="K24" s="85">
        <f>IF(C24=0,"מלאו את המיפוי — משם מגיע התזרים הפנוי",IF(I24&lt;0,"🔴 חילקתם "&amp;TEXT(-I24,"#,##0")&amp;" ₪ יותר ממה שיש בתזרים",IF(I24&gt;50,"⚠️ נשארו "&amp;TEXT(I24,"#,##0")&amp;" ₪ בלי יעד — כסף שלא מוקצה מתאדה","🟢 כל שקל מהתזרים הפנוי קיבל יעד")))</f>
        <v/>
      </c>
    </row>
    <row r="25"/>
    <row r="26" ht="24" customHeight="1" s="65">
      <c r="B26" s="86">
        <f>IF(M17=0,"מלאו מטרות בשאלון — עלות, שנת יעד ותשואה צפויה",IF(AND(I20=0,I22=0),"🟢 התכנית סגורה: ההון והתזרים מכסים את כל המטרות",IF(C24+50&lt;C22,"🔴 גם אם תחלקו את כל התזרים הפנוי ("&amp;TEXT(C24,"#,##0")&amp;" ₪) עדיין חסרים "&amp;TEXT(C22-C24,"#,##0")&amp;" ₪ בחודש — צריך לשחרר תזרים, לשייך הון או לדחות יעד",IF(I22&gt;0,"⚠️ יש מספיק תזרים — צריך רק להקצות אותו: חסרים עוד "&amp;TEXT(I22,"#,##0")&amp;" ₪ בעמודת 'מקצים בפועל'","🟢 כל המטרות מכוסות"))))</f>
        <v/>
      </c>
    </row>
    <row r="27"/>
    <row r="28">
      <c r="B28" s="67" t="inlineStr">
        <is>
          <t>"יש כבר" = כסף חד-פעמי שמשייכים למטרה (חיסכון, קרן השתלמות). ככל שיש יותר — "להפקיד כל חודש" קטן. תשואה לפי טווח: עד 3 שנים 0-2% · 3-7 שנים 4-5% · מעל 7 שנים 6-7%.</t>
        </is>
      </c>
    </row>
  </sheetData>
  <mergeCells count="11">
    <mergeCell ref="K24:P24"/>
    <mergeCell ref="B1:H1"/>
    <mergeCell ref="B28:P28"/>
    <mergeCell ref="F3:P3"/>
    <mergeCell ref="B19:P19"/>
    <mergeCell ref="K22:P22"/>
    <mergeCell ref="B23:P23"/>
    <mergeCell ref="B2:H2"/>
    <mergeCell ref="B26:P26"/>
    <mergeCell ref="K20:P20"/>
    <mergeCell ref="B21:P21"/>
  </mergeCells>
  <conditionalFormatting sqref="I24">
    <cfRule type="expression" priority="6" dxfId="1">
      <formula>$I$24&lt;0</formula>
    </cfRule>
    <cfRule type="expression" priority="7" dxfId="5">
      <formula>AND($C$24&gt;0,$I$24&gt;50)</formula>
    </cfRule>
    <cfRule type="expression" priority="8" dxfId="0">
      <formula>AND($C$24&gt;0,$I$24&lt;=50,$I$24&gt;=0)</formula>
    </cfRule>
  </conditionalFormatting>
  <conditionalFormatting sqref="K5:K16">
    <cfRule type="expression" priority="2" dxfId="0">
      <formula>AND(K5&lt;&gt;"",K5&gt;0)</formula>
    </cfRule>
  </conditionalFormatting>
  <conditionalFormatting sqref="L5:L16">
    <cfRule type="expression" priority="3" dxfId="0">
      <formula>AND(L5&lt;&gt;"",L5=0)</formula>
    </cfRule>
    <cfRule type="expression" priority="4" dxfId="5">
      <formula>AND(L5&lt;&gt;"",L5&gt;0)</formula>
    </cfRule>
  </conditionalFormatting>
  <conditionalFormatting sqref="O5:O16">
    <cfRule type="expression" priority="1" dxfId="0">
      <formula>O5="✔"</formula>
    </cfRule>
    <cfRule type="expression" priority="5" dxfId="5">
      <formula>AND(O5&lt;&gt;"",O5&lt;&gt;"✔")</formula>
    </cfRule>
  </conditionalFormatting>
  <hyperlinks>
    <hyperlink ref="I1" location="'בית'!A1" display="🏠 בית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E8FA6"/>
    <outlinePr summaryBelow="1" summaryRight="1"/>
    <pageSetUpPr/>
  </sheetPr>
  <dimension ref="A1:AC76"/>
  <sheetViews>
    <sheetView rightToLeft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4"/>
  <cols>
    <col width="2" customWidth="1" style="65" min="1" max="1"/>
    <col width="26" customWidth="1" style="65" min="2" max="2"/>
    <col width="9.5" customWidth="1" style="65" min="3" max="26"/>
    <col width="11" customWidth="1" style="65" min="27" max="28"/>
  </cols>
  <sheetData>
    <row r="1" ht="28" customHeight="1" s="65">
      <c r="B1" s="70" t="inlineStr">
        <is>
          <t>תזרים — תכנון מול ביצוע</t>
        </is>
      </c>
      <c r="AB1" s="114">
        <f>IF(C2="ינואר",1,IF(C2="פברואר",2,IF(C2="מרץ",3,IF(C2="אפריל",4,IF(C2="מאי",5,IF(C2="יוני",6,IF(C2="יולי",7,IF(C2="אוגוסט",8,IF(C2="ספטמבר",9,IF(C2="אוקטובר",10,IF(C2="נובמבר",11,IF(C2="דצמבר",12,1))))))))))))</f>
        <v/>
      </c>
      <c r="AC1" s="15" t="inlineStr">
        <is>
          <t>🏠 בית</t>
        </is>
      </c>
    </row>
    <row r="2">
      <c r="B2" s="42" t="inlineStr">
        <is>
          <t>תחילת פעילות — חודש:</t>
        </is>
      </c>
      <c r="C2" s="72" t="n"/>
      <c r="D2" s="89" t="inlineStr">
        <is>
          <t>שנה:</t>
        </is>
      </c>
      <c r="E2" s="19" t="n"/>
      <c r="F2" s="89" t="inlineStr">
        <is>
          <t>שנת פעילות:</t>
        </is>
      </c>
      <c r="H2" s="19" t="n">
        <v>1</v>
      </c>
      <c r="J2" s="67" t="inlineStr">
        <is>
          <t>בוחרים חודש ושנה מהרשימה — וכל התזרים מתיישר. שנה הבאה? מעלים "שנת פעילות" ל-2.</t>
        </is>
      </c>
      <c r="AA2" s="44" t="n"/>
      <c r="AC2" s="127">
        <f>SUMPRODUCT((MOD(COLUMN($C$12:$Z$12)-COLUMN($C$12),2)=1)*($C$12:$Z$12&gt;0))</f>
        <v/>
      </c>
    </row>
    <row r="3" ht="20" customHeight="1" s="65">
      <c r="B3" s="75" t="inlineStr">
        <is>
          <t>הכנסות</t>
        </is>
      </c>
    </row>
    <row r="4" ht="20" customHeight="1" s="65">
      <c r="C4" s="87">
        <f>CHOOSE(MONTH(C62),"ינואר","פברואר","מרץ","אפריל","מאי","יוני","יולי","אוגוסט","ספטמבר","אוקטובר","נובמבר","דצמבר")&amp;" "&amp;YEAR(C62)</f>
        <v/>
      </c>
      <c r="D4" s="63" t="n"/>
      <c r="E4" s="87">
        <f>CHOOSE(MONTH(E62),"ינואר","פברואר","מרץ","אפריל","מאי","יוני","יולי","אוגוסט","ספטמבר","אוקטובר","נובמבר","דצמבר")&amp;" "&amp;YEAR(E62)</f>
        <v/>
      </c>
      <c r="F4" s="63" t="n"/>
      <c r="G4" s="87">
        <f>CHOOSE(MONTH(G62),"ינואר","פברואר","מרץ","אפריל","מאי","יוני","יולי","אוגוסט","ספטמבר","אוקטובר","נובמבר","דצמבר")&amp;" "&amp;YEAR(G62)</f>
        <v/>
      </c>
      <c r="H4" s="63" t="n"/>
      <c r="I4" s="87">
        <f>CHOOSE(MONTH(I62),"ינואר","פברואר","מרץ","אפריל","מאי","יוני","יולי","אוגוסט","ספטמבר","אוקטובר","נובמבר","דצמבר")&amp;" "&amp;YEAR(I62)</f>
        <v/>
      </c>
      <c r="J4" s="63" t="n"/>
      <c r="K4" s="87">
        <f>CHOOSE(MONTH(K62),"ינואר","פברואר","מרץ","אפריל","מאי","יוני","יולי","אוגוסט","ספטמבר","אוקטובר","נובמבר","דצמבר")&amp;" "&amp;YEAR(K62)</f>
        <v/>
      </c>
      <c r="L4" s="63" t="n"/>
      <c r="M4" s="87">
        <f>CHOOSE(MONTH(M62),"ינואר","פברואר","מרץ","אפריל","מאי","יוני","יולי","אוגוסט","ספטמבר","אוקטובר","נובמבר","דצמבר")&amp;" "&amp;YEAR(M62)</f>
        <v/>
      </c>
      <c r="N4" s="63" t="n"/>
      <c r="O4" s="87">
        <f>CHOOSE(MONTH(O62),"ינואר","פברואר","מרץ","אפריל","מאי","יוני","יולי","אוגוסט","ספטמבר","אוקטובר","נובמבר","דצמבר")&amp;" "&amp;YEAR(O62)</f>
        <v/>
      </c>
      <c r="P4" s="63" t="n"/>
      <c r="Q4" s="87">
        <f>CHOOSE(MONTH(Q62),"ינואר","פברואר","מרץ","אפריל","מאי","יוני","יולי","אוגוסט","ספטמבר","אוקטובר","נובמבר","דצמבר")&amp;" "&amp;YEAR(Q62)</f>
        <v/>
      </c>
      <c r="R4" s="63" t="n"/>
      <c r="S4" s="87">
        <f>CHOOSE(MONTH(S62),"ינואר","פברואר","מרץ","אפריל","מאי","יוני","יולי","אוגוסט","ספטמבר","אוקטובר","נובמבר","דצמבר")&amp;" "&amp;YEAR(S62)</f>
        <v/>
      </c>
      <c r="T4" s="63" t="n"/>
      <c r="U4" s="87">
        <f>CHOOSE(MONTH(U62),"ינואר","פברואר","מרץ","אפריל","מאי","יוני","יולי","אוגוסט","ספטמבר","אוקטובר","נובמבר","דצמבר")&amp;" "&amp;YEAR(U62)</f>
        <v/>
      </c>
      <c r="V4" s="63" t="n"/>
      <c r="W4" s="87">
        <f>CHOOSE(MONTH(W62),"ינואר","פברואר","מרץ","אפריל","מאי","יוני","יולי","אוגוסט","ספטמבר","אוקטובר","נובמבר","דצמבר")&amp;" "&amp;YEAR(W62)</f>
        <v/>
      </c>
      <c r="X4" s="63" t="n"/>
      <c r="Y4" s="87">
        <f>CHOOSE(MONTH(Y62),"ינואר","פברואר","מרץ","אפריל","מאי","יוני","יולי","אוגוסט","ספטמבר","אוקטובר","נובמבר","דצמבר")&amp;" "&amp;YEAR(Y62)</f>
        <v/>
      </c>
      <c r="Z4" s="63" t="n"/>
    </row>
    <row r="5">
      <c r="B5" s="74" t="inlineStr">
        <is>
          <t>קטגוריה</t>
        </is>
      </c>
      <c r="C5" s="74" t="inlineStr">
        <is>
          <t>תכנון</t>
        </is>
      </c>
      <c r="D5" s="74" t="inlineStr">
        <is>
          <t>ביצוע</t>
        </is>
      </c>
      <c r="E5" s="74" t="inlineStr">
        <is>
          <t>תכנון</t>
        </is>
      </c>
      <c r="F5" s="74" t="inlineStr">
        <is>
          <t>ביצוע</t>
        </is>
      </c>
      <c r="G5" s="74" t="inlineStr">
        <is>
          <t>תכנון</t>
        </is>
      </c>
      <c r="H5" s="74" t="inlineStr">
        <is>
          <t>ביצוע</t>
        </is>
      </c>
      <c r="I5" s="74" t="inlineStr">
        <is>
          <t>תכנון</t>
        </is>
      </c>
      <c r="J5" s="74" t="inlineStr">
        <is>
          <t>ביצוע</t>
        </is>
      </c>
      <c r="K5" s="74" t="inlineStr">
        <is>
          <t>תכנון</t>
        </is>
      </c>
      <c r="L5" s="74" t="inlineStr">
        <is>
          <t>ביצוע</t>
        </is>
      </c>
      <c r="M5" s="74" t="inlineStr">
        <is>
          <t>תכנון</t>
        </is>
      </c>
      <c r="N5" s="74" t="inlineStr">
        <is>
          <t>ביצוע</t>
        </is>
      </c>
      <c r="O5" s="74" t="inlineStr">
        <is>
          <t>תכנון</t>
        </is>
      </c>
      <c r="P5" s="74" t="inlineStr">
        <is>
          <t>ביצוע</t>
        </is>
      </c>
      <c r="Q5" s="74" t="inlineStr">
        <is>
          <t>תכנון</t>
        </is>
      </c>
      <c r="R5" s="74" t="inlineStr">
        <is>
          <t>ביצוע</t>
        </is>
      </c>
      <c r="S5" s="74" t="inlineStr">
        <is>
          <t>תכנון</t>
        </is>
      </c>
      <c r="T5" s="74" t="inlineStr">
        <is>
          <t>ביצוע</t>
        </is>
      </c>
      <c r="U5" s="74" t="inlineStr">
        <is>
          <t>תכנון</t>
        </is>
      </c>
      <c r="V5" s="74" t="inlineStr">
        <is>
          <t>ביצוע</t>
        </is>
      </c>
      <c r="W5" s="74" t="inlineStr">
        <is>
          <t>תכנון</t>
        </is>
      </c>
      <c r="X5" s="74" t="inlineStr">
        <is>
          <t>ביצוע</t>
        </is>
      </c>
      <c r="Y5" s="74" t="inlineStr">
        <is>
          <t>תכנון</t>
        </is>
      </c>
      <c r="Z5" s="74" t="inlineStr">
        <is>
          <t>ביצוע</t>
        </is>
      </c>
      <c r="AA5" s="74" t="inlineStr">
        <is>
          <t>סה"כ תכנון</t>
        </is>
      </c>
      <c r="AB5" s="74" t="inlineStr">
        <is>
          <t>סה"כ ביצוע</t>
        </is>
      </c>
    </row>
    <row r="6">
      <c r="B6" s="90">
        <f>IF(מיפוי!B6="","",מיפוי!B6)</f>
        <v/>
      </c>
      <c r="C6" s="46">
        <f>IF(מיפוי!D6="","",מיפוי!D6)</f>
        <v/>
      </c>
      <c r="D6" s="73" t="n"/>
      <c r="E6" s="46">
        <f>C6</f>
        <v/>
      </c>
      <c r="F6" s="73" t="n"/>
      <c r="G6" s="46">
        <f>E6</f>
        <v/>
      </c>
      <c r="H6" s="73" t="n"/>
      <c r="I6" s="46">
        <f>G6</f>
        <v/>
      </c>
      <c r="J6" s="73" t="n"/>
      <c r="K6" s="46">
        <f>I6</f>
        <v/>
      </c>
      <c r="L6" s="73" t="n"/>
      <c r="M6" s="46">
        <f>K6</f>
        <v/>
      </c>
      <c r="N6" s="73" t="n"/>
      <c r="O6" s="46">
        <f>M6</f>
        <v/>
      </c>
      <c r="P6" s="73" t="n"/>
      <c r="Q6" s="46">
        <f>O6</f>
        <v/>
      </c>
      <c r="R6" s="73" t="n"/>
      <c r="S6" s="46">
        <f>Q6</f>
        <v/>
      </c>
      <c r="T6" s="73" t="n"/>
      <c r="U6" s="46">
        <f>S6</f>
        <v/>
      </c>
      <c r="V6" s="73" t="n"/>
      <c r="W6" s="46">
        <f>U6</f>
        <v/>
      </c>
      <c r="X6" s="73" t="n"/>
      <c r="Y6" s="46">
        <f>W6</f>
        <v/>
      </c>
      <c r="Z6" s="73" t="n"/>
      <c r="AA6" s="47">
        <f>SUM(C6,E6,G6,I6,K6,M6,O6,Q6,S6,U6,W6,Y6)</f>
        <v/>
      </c>
      <c r="AB6" s="47">
        <f>SUM(D6,F6,H6,J6,L6,N6,P6,R6,T6,V6,X6,Z6)</f>
        <v/>
      </c>
    </row>
    <row r="7">
      <c r="B7" s="90">
        <f>IF(מיפוי!B7="","",מיפוי!B7)</f>
        <v/>
      </c>
      <c r="C7" s="46">
        <f>IF(מיפוי!D7="","",מיפוי!D7)</f>
        <v/>
      </c>
      <c r="D7" s="73" t="n"/>
      <c r="E7" s="46">
        <f>C7</f>
        <v/>
      </c>
      <c r="F7" s="73" t="n"/>
      <c r="G7" s="46">
        <f>E7</f>
        <v/>
      </c>
      <c r="H7" s="73" t="n"/>
      <c r="I7" s="46">
        <f>G7</f>
        <v/>
      </c>
      <c r="J7" s="73" t="n"/>
      <c r="K7" s="46">
        <f>I7</f>
        <v/>
      </c>
      <c r="L7" s="73" t="n"/>
      <c r="M7" s="46">
        <f>K7</f>
        <v/>
      </c>
      <c r="N7" s="73" t="n"/>
      <c r="O7" s="46">
        <f>M7</f>
        <v/>
      </c>
      <c r="P7" s="73" t="n"/>
      <c r="Q7" s="46">
        <f>O7</f>
        <v/>
      </c>
      <c r="R7" s="73" t="n"/>
      <c r="S7" s="46">
        <f>Q7</f>
        <v/>
      </c>
      <c r="T7" s="73" t="n"/>
      <c r="U7" s="46">
        <f>S7</f>
        <v/>
      </c>
      <c r="V7" s="73" t="n"/>
      <c r="W7" s="46">
        <f>U7</f>
        <v/>
      </c>
      <c r="X7" s="73" t="n"/>
      <c r="Y7" s="46">
        <f>W7</f>
        <v/>
      </c>
      <c r="Z7" s="73" t="n"/>
      <c r="AA7" s="47">
        <f>SUM(C7,E7,G7,I7,K7,M7,O7,Q7,S7,U7,W7,Y7)</f>
        <v/>
      </c>
      <c r="AB7" s="47">
        <f>SUM(D7,F7,H7,J7,L7,N7,P7,R7,T7,V7,X7,Z7)</f>
        <v/>
      </c>
    </row>
    <row r="8">
      <c r="B8" s="90">
        <f>IF(מיפוי!B8="","",מיפוי!B8)</f>
        <v/>
      </c>
      <c r="C8" s="46">
        <f>IF(מיפוי!D8="","",מיפוי!D8)</f>
        <v/>
      </c>
      <c r="D8" s="73" t="n"/>
      <c r="E8" s="46">
        <f>C8</f>
        <v/>
      </c>
      <c r="F8" s="73" t="n"/>
      <c r="G8" s="46">
        <f>E8</f>
        <v/>
      </c>
      <c r="H8" s="73" t="n"/>
      <c r="I8" s="46">
        <f>G8</f>
        <v/>
      </c>
      <c r="J8" s="73" t="n"/>
      <c r="K8" s="46">
        <f>I8</f>
        <v/>
      </c>
      <c r="L8" s="73" t="n"/>
      <c r="M8" s="46">
        <f>K8</f>
        <v/>
      </c>
      <c r="N8" s="73" t="n"/>
      <c r="O8" s="46">
        <f>M8</f>
        <v/>
      </c>
      <c r="P8" s="73" t="n"/>
      <c r="Q8" s="46">
        <f>O8</f>
        <v/>
      </c>
      <c r="R8" s="73" t="n"/>
      <c r="S8" s="46">
        <f>Q8</f>
        <v/>
      </c>
      <c r="T8" s="73" t="n"/>
      <c r="U8" s="46">
        <f>S8</f>
        <v/>
      </c>
      <c r="V8" s="73" t="n"/>
      <c r="W8" s="46">
        <f>U8</f>
        <v/>
      </c>
      <c r="X8" s="73" t="n"/>
      <c r="Y8" s="46">
        <f>W8</f>
        <v/>
      </c>
      <c r="Z8" s="73" t="n"/>
      <c r="AA8" s="47">
        <f>SUM(C8,E8,G8,I8,K8,M8,O8,Q8,S8,U8,W8,Y8)</f>
        <v/>
      </c>
      <c r="AB8" s="47">
        <f>SUM(D8,F8,H8,J8,L8,N8,P8,R8,T8,V8,X8,Z8)</f>
        <v/>
      </c>
    </row>
    <row r="9">
      <c r="B9" s="90">
        <f>IF(מיפוי!B9="","",מיפוי!B9)</f>
        <v/>
      </c>
      <c r="C9" s="46">
        <f>IF(עסק!C$10=0,IF(מיפוי!D9="","",מיפוי!D9),עסק!C$10)</f>
        <v/>
      </c>
      <c r="D9" s="73" t="n"/>
      <c r="E9" s="46">
        <f>IF(עסק!D$10=0,C9,עסק!D$10)</f>
        <v/>
      </c>
      <c r="F9" s="73" t="n"/>
      <c r="G9" s="46">
        <f>IF(עסק!E$10=0,E9,עסק!E$10)</f>
        <v/>
      </c>
      <c r="H9" s="73" t="n"/>
      <c r="I9" s="46">
        <f>IF(עסק!F$10=0,G9,עסק!F$10)</f>
        <v/>
      </c>
      <c r="J9" s="73" t="n"/>
      <c r="K9" s="46">
        <f>IF(עסק!G$10=0,I9,עסק!G$10)</f>
        <v/>
      </c>
      <c r="L9" s="73" t="n"/>
      <c r="M9" s="46">
        <f>IF(עסק!H$10=0,K9,עסק!H$10)</f>
        <v/>
      </c>
      <c r="N9" s="73" t="n"/>
      <c r="O9" s="46">
        <f>IF(עסק!I$10=0,M9,עסק!I$10)</f>
        <v/>
      </c>
      <c r="P9" s="73" t="n"/>
      <c r="Q9" s="46">
        <f>IF(עסק!J$10=0,O9,עסק!J$10)</f>
        <v/>
      </c>
      <c r="R9" s="73" t="n"/>
      <c r="S9" s="46">
        <f>IF(עסק!K$10=0,Q9,עסק!K$10)</f>
        <v/>
      </c>
      <c r="T9" s="73" t="n"/>
      <c r="U9" s="46">
        <f>IF(עסק!L$10=0,S9,עסק!L$10)</f>
        <v/>
      </c>
      <c r="V9" s="73" t="n"/>
      <c r="W9" s="46">
        <f>IF(עסק!M$10=0,U9,עסק!M$10)</f>
        <v/>
      </c>
      <c r="X9" s="73" t="n"/>
      <c r="Y9" s="46">
        <f>IF(עסק!N$10=0,W9,עסק!N$10)</f>
        <v/>
      </c>
      <c r="Z9" s="73" t="n"/>
      <c r="AA9" s="47">
        <f>SUM(C9,E9,G9,I9,K9,M9,O9,Q9,S9,U9,W9,Y9)</f>
        <v/>
      </c>
      <c r="AB9" s="47">
        <f>SUM(D9,F9,H9,J9,L9,N9,P9,R9,T9,V9,X9,Z9)</f>
        <v/>
      </c>
    </row>
    <row r="10">
      <c r="B10" s="90">
        <f>IF(מיפוי!B10="","",מיפוי!B10)</f>
        <v/>
      </c>
      <c r="C10" s="46">
        <f>IF(מיפוי!D10="","",מיפוי!D10)</f>
        <v/>
      </c>
      <c r="D10" s="73" t="n"/>
      <c r="E10" s="46">
        <f>C10</f>
        <v/>
      </c>
      <c r="F10" s="73" t="n"/>
      <c r="G10" s="46">
        <f>E10</f>
        <v/>
      </c>
      <c r="H10" s="73" t="n"/>
      <c r="I10" s="46">
        <f>G10</f>
        <v/>
      </c>
      <c r="J10" s="73" t="n"/>
      <c r="K10" s="46">
        <f>I10</f>
        <v/>
      </c>
      <c r="L10" s="73" t="n"/>
      <c r="M10" s="46">
        <f>K10</f>
        <v/>
      </c>
      <c r="N10" s="73" t="n"/>
      <c r="O10" s="46">
        <f>M10</f>
        <v/>
      </c>
      <c r="P10" s="73" t="n"/>
      <c r="Q10" s="46">
        <f>O10</f>
        <v/>
      </c>
      <c r="R10" s="73" t="n"/>
      <c r="S10" s="46">
        <f>Q10</f>
        <v/>
      </c>
      <c r="T10" s="73" t="n"/>
      <c r="U10" s="46">
        <f>S10</f>
        <v/>
      </c>
      <c r="V10" s="73" t="n"/>
      <c r="W10" s="46">
        <f>U10</f>
        <v/>
      </c>
      <c r="X10" s="73" t="n"/>
      <c r="Y10" s="46">
        <f>W10</f>
        <v/>
      </c>
      <c r="Z10" s="73" t="n"/>
      <c r="AA10" s="47">
        <f>SUM(C10,E10,G10,I10,K10,M10,O10,Q10,S10,U10,W10,Y10)</f>
        <v/>
      </c>
      <c r="AB10" s="47">
        <f>SUM(D10,F10,H10,J10,L10,N10,P10,R10,T10,V10,X10,Z10)</f>
        <v/>
      </c>
    </row>
    <row r="11">
      <c r="B11" s="90">
        <f>IF(מיפוי!B11="","",מיפוי!B11)</f>
        <v/>
      </c>
      <c r="C11" s="46">
        <f>IF(מיפוי!D11="","",מיפוי!D11)</f>
        <v/>
      </c>
      <c r="D11" s="73" t="n"/>
      <c r="E11" s="46">
        <f>C11</f>
        <v/>
      </c>
      <c r="F11" s="73" t="n"/>
      <c r="G11" s="46">
        <f>E11</f>
        <v/>
      </c>
      <c r="H11" s="73" t="n"/>
      <c r="I11" s="46">
        <f>G11</f>
        <v/>
      </c>
      <c r="J11" s="73" t="n"/>
      <c r="K11" s="46">
        <f>I11</f>
        <v/>
      </c>
      <c r="L11" s="73" t="n"/>
      <c r="M11" s="46">
        <f>K11</f>
        <v/>
      </c>
      <c r="N11" s="73" t="n"/>
      <c r="O11" s="46">
        <f>M11</f>
        <v/>
      </c>
      <c r="P11" s="73" t="n"/>
      <c r="Q11" s="46">
        <f>O11</f>
        <v/>
      </c>
      <c r="R11" s="73" t="n"/>
      <c r="S11" s="46">
        <f>Q11</f>
        <v/>
      </c>
      <c r="T11" s="73" t="n"/>
      <c r="U11" s="46">
        <f>S11</f>
        <v/>
      </c>
      <c r="V11" s="73" t="n"/>
      <c r="W11" s="46">
        <f>U11</f>
        <v/>
      </c>
      <c r="X11" s="73" t="n"/>
      <c r="Y11" s="46">
        <f>W11</f>
        <v/>
      </c>
      <c r="Z11" s="73" t="n"/>
      <c r="AA11" s="47">
        <f>SUM(C11,E11,G11,I11,K11,M11,O11,Q11,S11,U11,W11,Y11)</f>
        <v/>
      </c>
      <c r="AB11" s="47">
        <f>SUM(D11,F11,H11,J11,L11,N11,P11,R11,T11,V11,X11,Z11)</f>
        <v/>
      </c>
    </row>
    <row r="12">
      <c r="B12" s="23" t="inlineStr">
        <is>
          <t>סה"כ הכנסות</t>
        </is>
      </c>
      <c r="C12" s="24">
        <f>SUM(C6:C11)</f>
        <v/>
      </c>
      <c r="D12" s="24">
        <f>SUM(D6:D11)</f>
        <v/>
      </c>
      <c r="E12" s="24">
        <f>SUM(E6:E11)</f>
        <v/>
      </c>
      <c r="F12" s="24">
        <f>SUM(F6:F11)</f>
        <v/>
      </c>
      <c r="G12" s="24">
        <f>SUM(G6:G11)</f>
        <v/>
      </c>
      <c r="H12" s="24">
        <f>SUM(H6:H11)</f>
        <v/>
      </c>
      <c r="I12" s="24">
        <f>SUM(I6:I11)</f>
        <v/>
      </c>
      <c r="J12" s="24">
        <f>SUM(J6:J11)</f>
        <v/>
      </c>
      <c r="K12" s="24">
        <f>SUM(K6:K11)</f>
        <v/>
      </c>
      <c r="L12" s="24">
        <f>SUM(L6:L11)</f>
        <v/>
      </c>
      <c r="M12" s="24">
        <f>SUM(M6:M11)</f>
        <v/>
      </c>
      <c r="N12" s="24">
        <f>SUM(N6:N11)</f>
        <v/>
      </c>
      <c r="O12" s="24">
        <f>SUM(O6:O11)</f>
        <v/>
      </c>
      <c r="P12" s="24">
        <f>SUM(P6:P11)</f>
        <v/>
      </c>
      <c r="Q12" s="24">
        <f>SUM(Q6:Q11)</f>
        <v/>
      </c>
      <c r="R12" s="24">
        <f>SUM(R6:R11)</f>
        <v/>
      </c>
      <c r="S12" s="24">
        <f>SUM(S6:S11)</f>
        <v/>
      </c>
      <c r="T12" s="24">
        <f>SUM(T6:T11)</f>
        <v/>
      </c>
      <c r="U12" s="24">
        <f>SUM(U6:U11)</f>
        <v/>
      </c>
      <c r="V12" s="24">
        <f>SUM(V6:V11)</f>
        <v/>
      </c>
      <c r="W12" s="24">
        <f>SUM(W6:W11)</f>
        <v/>
      </c>
      <c r="X12" s="24">
        <f>SUM(X6:X11)</f>
        <v/>
      </c>
      <c r="Y12" s="24">
        <f>SUM(Y6:Y11)</f>
        <v/>
      </c>
      <c r="Z12" s="24">
        <f>SUM(Z6:Z11)</f>
        <v/>
      </c>
      <c r="AA12" s="24">
        <f>SUM(AA6:AA11)</f>
        <v/>
      </c>
      <c r="AB12" s="24">
        <f>SUM(AB6:AB11)</f>
        <v/>
      </c>
    </row>
    <row r="13"/>
    <row r="14" ht="20" customHeight="1" s="65">
      <c r="B14" s="76" t="inlineStr">
        <is>
          <t>הוצאות קבועות</t>
        </is>
      </c>
    </row>
    <row r="15">
      <c r="B15" s="90">
        <f>IF(מיפוי!B16="","",מיפוי!B16)</f>
        <v/>
      </c>
      <c r="C15" s="46">
        <f>IF(מיפוי!D16="","",מיפוי!D16)</f>
        <v/>
      </c>
      <c r="D15" s="73" t="n"/>
      <c r="E15" s="46">
        <f>C15</f>
        <v/>
      </c>
      <c r="F15" s="73" t="n"/>
      <c r="G15" s="46">
        <f>E15</f>
        <v/>
      </c>
      <c r="H15" s="73" t="n"/>
      <c r="I15" s="46">
        <f>G15</f>
        <v/>
      </c>
      <c r="J15" s="73" t="n"/>
      <c r="K15" s="46">
        <f>I15</f>
        <v/>
      </c>
      <c r="L15" s="73" t="n"/>
      <c r="M15" s="46">
        <f>K15</f>
        <v/>
      </c>
      <c r="N15" s="73" t="n"/>
      <c r="O15" s="46">
        <f>M15</f>
        <v/>
      </c>
      <c r="P15" s="73" t="n"/>
      <c r="Q15" s="46">
        <f>O15</f>
        <v/>
      </c>
      <c r="R15" s="73" t="n"/>
      <c r="S15" s="46">
        <f>Q15</f>
        <v/>
      </c>
      <c r="T15" s="73" t="n"/>
      <c r="U15" s="46">
        <f>S15</f>
        <v/>
      </c>
      <c r="V15" s="73" t="n"/>
      <c r="W15" s="46">
        <f>U15</f>
        <v/>
      </c>
      <c r="X15" s="73" t="n"/>
      <c r="Y15" s="46">
        <f>W15</f>
        <v/>
      </c>
      <c r="Z15" s="73" t="n"/>
      <c r="AA15" s="47">
        <f>SUM(C15,E15,G15,I15,K15,M15,O15,Q15,S15,U15,W15,Y15)</f>
        <v/>
      </c>
      <c r="AB15" s="47">
        <f>SUM(D15,F15,H15,J15,L15,N15,P15,R15,T15,V15,X15,Z15)</f>
        <v/>
      </c>
    </row>
    <row r="16">
      <c r="B16" s="90">
        <f>IF(מיפוי!B17="","",מיפוי!B17)</f>
        <v/>
      </c>
      <c r="C16" s="46">
        <f>IF(מיפוי!D17="","",מיפוי!D17)</f>
        <v/>
      </c>
      <c r="D16" s="73" t="n"/>
      <c r="E16" s="46">
        <f>C16</f>
        <v/>
      </c>
      <c r="F16" s="73" t="n"/>
      <c r="G16" s="46">
        <f>E16</f>
        <v/>
      </c>
      <c r="H16" s="73" t="n"/>
      <c r="I16" s="46">
        <f>G16</f>
        <v/>
      </c>
      <c r="J16" s="73" t="n"/>
      <c r="K16" s="46">
        <f>I16</f>
        <v/>
      </c>
      <c r="L16" s="73" t="n"/>
      <c r="M16" s="46">
        <f>K16</f>
        <v/>
      </c>
      <c r="N16" s="73" t="n"/>
      <c r="O16" s="46">
        <f>M16</f>
        <v/>
      </c>
      <c r="P16" s="73" t="n"/>
      <c r="Q16" s="46">
        <f>O16</f>
        <v/>
      </c>
      <c r="R16" s="73" t="n"/>
      <c r="S16" s="46">
        <f>Q16</f>
        <v/>
      </c>
      <c r="T16" s="73" t="n"/>
      <c r="U16" s="46">
        <f>S16</f>
        <v/>
      </c>
      <c r="V16" s="73" t="n"/>
      <c r="W16" s="46">
        <f>U16</f>
        <v/>
      </c>
      <c r="X16" s="73" t="n"/>
      <c r="Y16" s="46">
        <f>W16</f>
        <v/>
      </c>
      <c r="Z16" s="73" t="n"/>
      <c r="AA16" s="47">
        <f>SUM(C16,E16,G16,I16,K16,M16,O16,Q16,S16,U16,W16,Y16)</f>
        <v/>
      </c>
      <c r="AB16" s="47">
        <f>SUM(D16,F16,H16,J16,L16,N16,P16,R16,T16,V16,X16,Z16)</f>
        <v/>
      </c>
    </row>
    <row r="17">
      <c r="B17" s="90">
        <f>IF(מיפוי!B18="","",מיפוי!B18)</f>
        <v/>
      </c>
      <c r="C17" s="46">
        <f>IF(מיפוי!D18="","",מיפוי!D18)</f>
        <v/>
      </c>
      <c r="D17" s="73" t="n"/>
      <c r="E17" s="46">
        <f>C17</f>
        <v/>
      </c>
      <c r="F17" s="73" t="n"/>
      <c r="G17" s="46">
        <f>E17</f>
        <v/>
      </c>
      <c r="H17" s="73" t="n"/>
      <c r="I17" s="46">
        <f>G17</f>
        <v/>
      </c>
      <c r="J17" s="73" t="n"/>
      <c r="K17" s="46">
        <f>I17</f>
        <v/>
      </c>
      <c r="L17" s="73" t="n"/>
      <c r="M17" s="46">
        <f>K17</f>
        <v/>
      </c>
      <c r="N17" s="73" t="n"/>
      <c r="O17" s="46">
        <f>M17</f>
        <v/>
      </c>
      <c r="P17" s="73" t="n"/>
      <c r="Q17" s="46">
        <f>O17</f>
        <v/>
      </c>
      <c r="R17" s="73" t="n"/>
      <c r="S17" s="46">
        <f>Q17</f>
        <v/>
      </c>
      <c r="T17" s="73" t="n"/>
      <c r="U17" s="46">
        <f>S17</f>
        <v/>
      </c>
      <c r="V17" s="73" t="n"/>
      <c r="W17" s="46">
        <f>U17</f>
        <v/>
      </c>
      <c r="X17" s="73" t="n"/>
      <c r="Y17" s="46">
        <f>W17</f>
        <v/>
      </c>
      <c r="Z17" s="73" t="n"/>
      <c r="AA17" s="47">
        <f>SUM(C17,E17,G17,I17,K17,M17,O17,Q17,S17,U17,W17,Y17)</f>
        <v/>
      </c>
      <c r="AB17" s="47">
        <f>SUM(D17,F17,H17,J17,L17,N17,P17,R17,T17,V17,X17,Z17)</f>
        <v/>
      </c>
    </row>
    <row r="18">
      <c r="B18" s="90">
        <f>IF(מיפוי!B19="","",מיפוי!B19)</f>
        <v/>
      </c>
      <c r="C18" s="46">
        <f>IF(מיפוי!D19="","",מיפוי!D19)</f>
        <v/>
      </c>
      <c r="D18" s="73" t="n"/>
      <c r="E18" s="46">
        <f>C18</f>
        <v/>
      </c>
      <c r="F18" s="73" t="n"/>
      <c r="G18" s="46">
        <f>E18</f>
        <v/>
      </c>
      <c r="H18" s="73" t="n"/>
      <c r="I18" s="46">
        <f>G18</f>
        <v/>
      </c>
      <c r="J18" s="73" t="n"/>
      <c r="K18" s="46">
        <f>I18</f>
        <v/>
      </c>
      <c r="L18" s="73" t="n"/>
      <c r="M18" s="46">
        <f>K18</f>
        <v/>
      </c>
      <c r="N18" s="73" t="n"/>
      <c r="O18" s="46">
        <f>M18</f>
        <v/>
      </c>
      <c r="P18" s="73" t="n"/>
      <c r="Q18" s="46">
        <f>O18</f>
        <v/>
      </c>
      <c r="R18" s="73" t="n"/>
      <c r="S18" s="46">
        <f>Q18</f>
        <v/>
      </c>
      <c r="T18" s="73" t="n"/>
      <c r="U18" s="46">
        <f>S18</f>
        <v/>
      </c>
      <c r="V18" s="73" t="n"/>
      <c r="W18" s="46">
        <f>U18</f>
        <v/>
      </c>
      <c r="X18" s="73" t="n"/>
      <c r="Y18" s="46">
        <f>W18</f>
        <v/>
      </c>
      <c r="Z18" s="73" t="n"/>
      <c r="AA18" s="47">
        <f>SUM(C18,E18,G18,I18,K18,M18,O18,Q18,S18,U18,W18,Y18)</f>
        <v/>
      </c>
      <c r="AB18" s="47">
        <f>SUM(D18,F18,H18,J18,L18,N18,P18,R18,T18,V18,X18,Z18)</f>
        <v/>
      </c>
    </row>
    <row r="19">
      <c r="B19" s="90">
        <f>IF(מיפוי!B20="","",מיפוי!B20)</f>
        <v/>
      </c>
      <c r="C19" s="46">
        <f>IF(מיפוי!D20="","",מיפוי!D20)</f>
        <v/>
      </c>
      <c r="D19" s="73" t="n"/>
      <c r="E19" s="46">
        <f>C19</f>
        <v/>
      </c>
      <c r="F19" s="73" t="n"/>
      <c r="G19" s="46">
        <f>E19</f>
        <v/>
      </c>
      <c r="H19" s="73" t="n"/>
      <c r="I19" s="46">
        <f>G19</f>
        <v/>
      </c>
      <c r="J19" s="73" t="n"/>
      <c r="K19" s="46">
        <f>I19</f>
        <v/>
      </c>
      <c r="L19" s="73" t="n"/>
      <c r="M19" s="46">
        <f>K19</f>
        <v/>
      </c>
      <c r="N19" s="73" t="n"/>
      <c r="O19" s="46">
        <f>M19</f>
        <v/>
      </c>
      <c r="P19" s="73" t="n"/>
      <c r="Q19" s="46">
        <f>O19</f>
        <v/>
      </c>
      <c r="R19" s="73" t="n"/>
      <c r="S19" s="46">
        <f>Q19</f>
        <v/>
      </c>
      <c r="T19" s="73" t="n"/>
      <c r="U19" s="46">
        <f>S19</f>
        <v/>
      </c>
      <c r="V19" s="73" t="n"/>
      <c r="W19" s="46">
        <f>U19</f>
        <v/>
      </c>
      <c r="X19" s="73" t="n"/>
      <c r="Y19" s="46">
        <f>W19</f>
        <v/>
      </c>
      <c r="Z19" s="73" t="n"/>
      <c r="AA19" s="47">
        <f>SUM(C19,E19,G19,I19,K19,M19,O19,Q19,S19,U19,W19,Y19)</f>
        <v/>
      </c>
      <c r="AB19" s="47">
        <f>SUM(D19,F19,H19,J19,L19,N19,P19,R19,T19,V19,X19,Z19)</f>
        <v/>
      </c>
    </row>
    <row r="20">
      <c r="B20" s="90">
        <f>IF(מיפוי!B21="","",מיפוי!B21)</f>
        <v/>
      </c>
      <c r="C20" s="46">
        <f>IF(מיפוי!D21="","",מיפוי!D21)</f>
        <v/>
      </c>
      <c r="D20" s="73" t="n"/>
      <c r="E20" s="46">
        <f>C20</f>
        <v/>
      </c>
      <c r="F20" s="73" t="n"/>
      <c r="G20" s="46">
        <f>E20</f>
        <v/>
      </c>
      <c r="H20" s="73" t="n"/>
      <c r="I20" s="46">
        <f>G20</f>
        <v/>
      </c>
      <c r="J20" s="73" t="n"/>
      <c r="K20" s="46">
        <f>I20</f>
        <v/>
      </c>
      <c r="L20" s="73" t="n"/>
      <c r="M20" s="46">
        <f>K20</f>
        <v/>
      </c>
      <c r="N20" s="73" t="n"/>
      <c r="O20" s="46">
        <f>M20</f>
        <v/>
      </c>
      <c r="P20" s="73" t="n"/>
      <c r="Q20" s="46">
        <f>O20</f>
        <v/>
      </c>
      <c r="R20" s="73" t="n"/>
      <c r="S20" s="46">
        <f>Q20</f>
        <v/>
      </c>
      <c r="T20" s="73" t="n"/>
      <c r="U20" s="46">
        <f>S20</f>
        <v/>
      </c>
      <c r="V20" s="73" t="n"/>
      <c r="W20" s="46">
        <f>U20</f>
        <v/>
      </c>
      <c r="X20" s="73" t="n"/>
      <c r="Y20" s="46">
        <f>W20</f>
        <v/>
      </c>
      <c r="Z20" s="73" t="n"/>
      <c r="AA20" s="47">
        <f>SUM(C20,E20,G20,I20,K20,M20,O20,Q20,S20,U20,W20,Y20)</f>
        <v/>
      </c>
      <c r="AB20" s="47">
        <f>SUM(D20,F20,H20,J20,L20,N20,P20,R20,T20,V20,X20,Z20)</f>
        <v/>
      </c>
    </row>
    <row r="21">
      <c r="B21" s="90">
        <f>IF(מיפוי!B22="","",מיפוי!B22)</f>
        <v/>
      </c>
      <c r="C21" s="46">
        <f>IF(מיפוי!D22="","",מיפוי!D22)</f>
        <v/>
      </c>
      <c r="D21" s="73" t="n"/>
      <c r="E21" s="46">
        <f>C21</f>
        <v/>
      </c>
      <c r="F21" s="73" t="n"/>
      <c r="G21" s="46">
        <f>E21</f>
        <v/>
      </c>
      <c r="H21" s="73" t="n"/>
      <c r="I21" s="46">
        <f>G21</f>
        <v/>
      </c>
      <c r="J21" s="73" t="n"/>
      <c r="K21" s="46">
        <f>I21</f>
        <v/>
      </c>
      <c r="L21" s="73" t="n"/>
      <c r="M21" s="46">
        <f>K21</f>
        <v/>
      </c>
      <c r="N21" s="73" t="n"/>
      <c r="O21" s="46">
        <f>M21</f>
        <v/>
      </c>
      <c r="P21" s="73" t="n"/>
      <c r="Q21" s="46">
        <f>O21</f>
        <v/>
      </c>
      <c r="R21" s="73" t="n"/>
      <c r="S21" s="46">
        <f>Q21</f>
        <v/>
      </c>
      <c r="T21" s="73" t="n"/>
      <c r="U21" s="46">
        <f>S21</f>
        <v/>
      </c>
      <c r="V21" s="73" t="n"/>
      <c r="W21" s="46">
        <f>U21</f>
        <v/>
      </c>
      <c r="X21" s="73" t="n"/>
      <c r="Y21" s="46">
        <f>W21</f>
        <v/>
      </c>
      <c r="Z21" s="73" t="n"/>
      <c r="AA21" s="47">
        <f>SUM(C21,E21,G21,I21,K21,M21,O21,Q21,S21,U21,W21,Y21)</f>
        <v/>
      </c>
      <c r="AB21" s="47">
        <f>SUM(D21,F21,H21,J21,L21,N21,P21,R21,T21,V21,X21,Z21)</f>
        <v/>
      </c>
    </row>
    <row r="22">
      <c r="B22" s="90">
        <f>IF(מיפוי!B23="","",מיפוי!B23)</f>
        <v/>
      </c>
      <c r="C22" s="46">
        <f>מיפוי!K$30</f>
        <v/>
      </c>
      <c r="D22" s="73" t="n"/>
      <c r="E22" s="46">
        <f>C22</f>
        <v/>
      </c>
      <c r="F22" s="73" t="n"/>
      <c r="G22" s="46">
        <f>E22</f>
        <v/>
      </c>
      <c r="H22" s="73" t="n"/>
      <c r="I22" s="46">
        <f>G22</f>
        <v/>
      </c>
      <c r="J22" s="73" t="n"/>
      <c r="K22" s="46">
        <f>I22</f>
        <v/>
      </c>
      <c r="L22" s="73" t="n"/>
      <c r="M22" s="46">
        <f>K22</f>
        <v/>
      </c>
      <c r="N22" s="73" t="n"/>
      <c r="O22" s="46">
        <f>M22</f>
        <v/>
      </c>
      <c r="P22" s="73" t="n"/>
      <c r="Q22" s="46">
        <f>O22</f>
        <v/>
      </c>
      <c r="R22" s="73" t="n"/>
      <c r="S22" s="46">
        <f>Q22</f>
        <v/>
      </c>
      <c r="T22" s="73" t="n"/>
      <c r="U22" s="46">
        <f>S22</f>
        <v/>
      </c>
      <c r="V22" s="73" t="n"/>
      <c r="W22" s="46">
        <f>U22</f>
        <v/>
      </c>
      <c r="X22" s="73" t="n"/>
      <c r="Y22" s="46">
        <f>W22</f>
        <v/>
      </c>
      <c r="Z22" s="73" t="n"/>
      <c r="AA22" s="47">
        <f>SUM(C22,E22,G22,I22,K22,M22,O22,Q22,S22,U22,W22,Y22)</f>
        <v/>
      </c>
      <c r="AB22" s="47">
        <f>SUM(D22,F22,H22,J22,L22,N22,P22,R22,T22,V22,X22,Z22)</f>
        <v/>
      </c>
    </row>
    <row r="23">
      <c r="B23" s="90">
        <f>IF(מיפוי!B24="","",מיפוי!B24)</f>
        <v/>
      </c>
      <c r="C23" s="46">
        <f>IF(מיפוי!L$17=0,"",מיפוי!L$17)</f>
        <v/>
      </c>
      <c r="D23" s="73" t="n"/>
      <c r="E23" s="46">
        <f>C23</f>
        <v/>
      </c>
      <c r="F23" s="73" t="n"/>
      <c r="G23" s="46">
        <f>E23</f>
        <v/>
      </c>
      <c r="H23" s="73" t="n"/>
      <c r="I23" s="46">
        <f>G23</f>
        <v/>
      </c>
      <c r="J23" s="73" t="n"/>
      <c r="K23" s="46">
        <f>I23</f>
        <v/>
      </c>
      <c r="L23" s="73" t="n"/>
      <c r="M23" s="46">
        <f>K23</f>
        <v/>
      </c>
      <c r="N23" s="73" t="n"/>
      <c r="O23" s="46">
        <f>M23</f>
        <v/>
      </c>
      <c r="P23" s="73" t="n"/>
      <c r="Q23" s="46">
        <f>O23</f>
        <v/>
      </c>
      <c r="R23" s="73" t="n"/>
      <c r="S23" s="46">
        <f>Q23</f>
        <v/>
      </c>
      <c r="T23" s="73" t="n"/>
      <c r="U23" s="46">
        <f>S23</f>
        <v/>
      </c>
      <c r="V23" s="73" t="n"/>
      <c r="W23" s="46">
        <f>U23</f>
        <v/>
      </c>
      <c r="X23" s="73" t="n"/>
      <c r="Y23" s="46">
        <f>W23</f>
        <v/>
      </c>
      <c r="Z23" s="73" t="n"/>
      <c r="AA23" s="47">
        <f>SUM(C23,E23,G23,I23,K23,M23,O23,Q23,S23,U23,W23,Y23)</f>
        <v/>
      </c>
      <c r="AB23" s="47">
        <f>SUM(D23,F23,H23,J23,L23,N23,P23,R23,T23,V23,X23,Z23)</f>
        <v/>
      </c>
    </row>
    <row r="24">
      <c r="B24" s="90">
        <f>IF(מיפוי!B25="","",מיפוי!B25)</f>
        <v/>
      </c>
      <c r="C24" s="46">
        <f>IF(מיפוי!K$54=0,"",מיפוי!K$54)</f>
        <v/>
      </c>
      <c r="D24" s="73" t="n"/>
      <c r="E24" s="46">
        <f>C24</f>
        <v/>
      </c>
      <c r="F24" s="73" t="n"/>
      <c r="G24" s="46">
        <f>E24</f>
        <v/>
      </c>
      <c r="H24" s="73" t="n"/>
      <c r="I24" s="46">
        <f>G24</f>
        <v/>
      </c>
      <c r="J24" s="73" t="n"/>
      <c r="K24" s="46">
        <f>I24</f>
        <v/>
      </c>
      <c r="L24" s="73" t="n"/>
      <c r="M24" s="46">
        <f>K24</f>
        <v/>
      </c>
      <c r="N24" s="73" t="n"/>
      <c r="O24" s="46">
        <f>M24</f>
        <v/>
      </c>
      <c r="P24" s="73" t="n"/>
      <c r="Q24" s="46">
        <f>O24</f>
        <v/>
      </c>
      <c r="R24" s="73" t="n"/>
      <c r="S24" s="46">
        <f>Q24</f>
        <v/>
      </c>
      <c r="T24" s="73" t="n"/>
      <c r="U24" s="46">
        <f>S24</f>
        <v/>
      </c>
      <c r="V24" s="73" t="n"/>
      <c r="W24" s="46">
        <f>U24</f>
        <v/>
      </c>
      <c r="X24" s="73" t="n"/>
      <c r="Y24" s="46">
        <f>W24</f>
        <v/>
      </c>
      <c r="Z24" s="73" t="n"/>
      <c r="AA24" s="47">
        <f>SUM(C24,E24,G24,I24,K24,M24,O24,Q24,S24,U24,W24,Y24)</f>
        <v/>
      </c>
      <c r="AB24" s="47">
        <f>SUM(D24,F24,H24,J24,L24,N24,P24,R24,T24,V24,X24,Z24)</f>
        <v/>
      </c>
    </row>
    <row r="25">
      <c r="B25" s="90">
        <f>IF(מיפוי!B26="","",מיפוי!B26)</f>
        <v/>
      </c>
      <c r="C25" s="46">
        <f>IF(מיפוי!D26="","",מיפוי!D26)</f>
        <v/>
      </c>
      <c r="D25" s="73" t="n"/>
      <c r="E25" s="46">
        <f>C25</f>
        <v/>
      </c>
      <c r="F25" s="73" t="n"/>
      <c r="G25" s="46">
        <f>E25</f>
        <v/>
      </c>
      <c r="H25" s="73" t="n"/>
      <c r="I25" s="46">
        <f>G25</f>
        <v/>
      </c>
      <c r="J25" s="73" t="n"/>
      <c r="K25" s="46">
        <f>I25</f>
        <v/>
      </c>
      <c r="L25" s="73" t="n"/>
      <c r="M25" s="46">
        <f>K25</f>
        <v/>
      </c>
      <c r="N25" s="73" t="n"/>
      <c r="O25" s="46">
        <f>M25</f>
        <v/>
      </c>
      <c r="P25" s="73" t="n"/>
      <c r="Q25" s="46">
        <f>O25</f>
        <v/>
      </c>
      <c r="R25" s="73" t="n"/>
      <c r="S25" s="46">
        <f>Q25</f>
        <v/>
      </c>
      <c r="T25" s="73" t="n"/>
      <c r="U25" s="46">
        <f>S25</f>
        <v/>
      </c>
      <c r="V25" s="73" t="n"/>
      <c r="W25" s="46">
        <f>U25</f>
        <v/>
      </c>
      <c r="X25" s="73" t="n"/>
      <c r="Y25" s="46">
        <f>W25</f>
        <v/>
      </c>
      <c r="Z25" s="73" t="n"/>
      <c r="AA25" s="47">
        <f>SUM(C25,E25,G25,I25,K25,M25,O25,Q25,S25,U25,W25,Y25)</f>
        <v/>
      </c>
      <c r="AB25" s="47">
        <f>SUM(D25,F25,H25,J25,L25,N25,P25,R25,T25,V25,X25,Z25)</f>
        <v/>
      </c>
    </row>
    <row r="26">
      <c r="B26" s="90">
        <f>IF(מיפוי!B27="","",מיפוי!B27)</f>
        <v/>
      </c>
      <c r="C26" s="46">
        <f>IF(מיפוי!D27="","",מיפוי!D27)</f>
        <v/>
      </c>
      <c r="D26" s="73" t="n"/>
      <c r="E26" s="46">
        <f>C26</f>
        <v/>
      </c>
      <c r="F26" s="73" t="n"/>
      <c r="G26" s="46">
        <f>E26</f>
        <v/>
      </c>
      <c r="H26" s="73" t="n"/>
      <c r="I26" s="46">
        <f>G26</f>
        <v/>
      </c>
      <c r="J26" s="73" t="n"/>
      <c r="K26" s="46">
        <f>I26</f>
        <v/>
      </c>
      <c r="L26" s="73" t="n"/>
      <c r="M26" s="46">
        <f>K26</f>
        <v/>
      </c>
      <c r="N26" s="73" t="n"/>
      <c r="O26" s="46">
        <f>M26</f>
        <v/>
      </c>
      <c r="P26" s="73" t="n"/>
      <c r="Q26" s="46">
        <f>O26</f>
        <v/>
      </c>
      <c r="R26" s="73" t="n"/>
      <c r="S26" s="46">
        <f>Q26</f>
        <v/>
      </c>
      <c r="T26" s="73" t="n"/>
      <c r="U26" s="46">
        <f>S26</f>
        <v/>
      </c>
      <c r="V26" s="73" t="n"/>
      <c r="W26" s="46">
        <f>U26</f>
        <v/>
      </c>
      <c r="X26" s="73" t="n"/>
      <c r="Y26" s="46">
        <f>W26</f>
        <v/>
      </c>
      <c r="Z26" s="73" t="n"/>
      <c r="AA26" s="47">
        <f>SUM(C26,E26,G26,I26,K26,M26,O26,Q26,S26,U26,W26,Y26)</f>
        <v/>
      </c>
      <c r="AB26" s="47">
        <f>SUM(D26,F26,H26,J26,L26,N26,P26,R26,T26,V26,X26,Z26)</f>
        <v/>
      </c>
    </row>
    <row r="27">
      <c r="B27" s="90">
        <f>IF(מיפוי!B28="","",מיפוי!B28)</f>
        <v/>
      </c>
      <c r="C27" s="46">
        <f>חובות!E$16</f>
        <v/>
      </c>
      <c r="D27" s="73" t="n"/>
      <c r="E27" s="46">
        <f>C27</f>
        <v/>
      </c>
      <c r="F27" s="73" t="n"/>
      <c r="G27" s="46">
        <f>E27</f>
        <v/>
      </c>
      <c r="H27" s="73" t="n"/>
      <c r="I27" s="46">
        <f>G27</f>
        <v/>
      </c>
      <c r="J27" s="73" t="n"/>
      <c r="K27" s="46">
        <f>I27</f>
        <v/>
      </c>
      <c r="L27" s="73" t="n"/>
      <c r="M27" s="46">
        <f>K27</f>
        <v/>
      </c>
      <c r="N27" s="73" t="n"/>
      <c r="O27" s="46">
        <f>M27</f>
        <v/>
      </c>
      <c r="P27" s="73" t="n"/>
      <c r="Q27" s="46">
        <f>O27</f>
        <v/>
      </c>
      <c r="R27" s="73" t="n"/>
      <c r="S27" s="46">
        <f>Q27</f>
        <v/>
      </c>
      <c r="T27" s="73" t="n"/>
      <c r="U27" s="46">
        <f>S27</f>
        <v/>
      </c>
      <c r="V27" s="73" t="n"/>
      <c r="W27" s="46">
        <f>U27</f>
        <v/>
      </c>
      <c r="X27" s="73" t="n"/>
      <c r="Y27" s="46">
        <f>W27</f>
        <v/>
      </c>
      <c r="Z27" s="73" t="n"/>
      <c r="AA27" s="47">
        <f>SUM(C27,E27,G27,I27,K27,M27,O27,Q27,S27,U27,W27,Y27)</f>
        <v/>
      </c>
      <c r="AB27" s="47">
        <f>SUM(D27,F27,H27,J27,L27,N27,P27,R27,T27,V27,X27,Z27)</f>
        <v/>
      </c>
    </row>
    <row r="28">
      <c r="B28" s="90">
        <f>IF(מיפוי!B29="","",מיפוי!B29)</f>
        <v/>
      </c>
      <c r="C28" s="46">
        <f>SUMPRODUCT(((YEAR(חובות!$K$20:$K$33)*12+MONTH(חובות!$K$20:$K$33))&lt;=(YEAR(C$62)*12+MONTH(C$62)))*((YEAR(חובות!$K$20:$K$33)*12+MONTH(חובות!$K$20:$K$33)+חובות!$D$20:$D$33-1)&gt;=(YEAR(C$62)*12+MONTH(C$62)))*(חובות!$E$20:$E$33))</f>
        <v/>
      </c>
      <c r="D28" s="73" t="n"/>
      <c r="E28" s="46">
        <f>SUMPRODUCT(((YEAR(חובות!$K$20:$K$33)*12+MONTH(חובות!$K$20:$K$33))&lt;=(YEAR(E$62)*12+MONTH(E$62)))*((YEAR(חובות!$K$20:$K$33)*12+MONTH(חובות!$K$20:$K$33)+חובות!$D$20:$D$33-1)&gt;=(YEAR(E$62)*12+MONTH(E$62)))*(חובות!$E$20:$E$33))</f>
        <v/>
      </c>
      <c r="F28" s="73" t="n"/>
      <c r="G28" s="46">
        <f>SUMPRODUCT(((YEAR(חובות!$K$20:$K$33)*12+MONTH(חובות!$K$20:$K$33))&lt;=(YEAR(G$62)*12+MONTH(G$62)))*((YEAR(חובות!$K$20:$K$33)*12+MONTH(חובות!$K$20:$K$33)+חובות!$D$20:$D$33-1)&gt;=(YEAR(G$62)*12+MONTH(G$62)))*(חובות!$E$20:$E$33))</f>
        <v/>
      </c>
      <c r="H28" s="73" t="n"/>
      <c r="I28" s="46">
        <f>SUMPRODUCT(((YEAR(חובות!$K$20:$K$33)*12+MONTH(חובות!$K$20:$K$33))&lt;=(YEAR(I$62)*12+MONTH(I$62)))*((YEAR(חובות!$K$20:$K$33)*12+MONTH(חובות!$K$20:$K$33)+חובות!$D$20:$D$33-1)&gt;=(YEAR(I$62)*12+MONTH(I$62)))*(חובות!$E$20:$E$33))</f>
        <v/>
      </c>
      <c r="J28" s="73" t="n"/>
      <c r="K28" s="46">
        <f>SUMPRODUCT(((YEAR(חובות!$K$20:$K$33)*12+MONTH(חובות!$K$20:$K$33))&lt;=(YEAR(K$62)*12+MONTH(K$62)))*((YEAR(חובות!$K$20:$K$33)*12+MONTH(חובות!$K$20:$K$33)+חובות!$D$20:$D$33-1)&gt;=(YEAR(K$62)*12+MONTH(K$62)))*(חובות!$E$20:$E$33))</f>
        <v/>
      </c>
      <c r="L28" s="73" t="n"/>
      <c r="M28" s="46">
        <f>SUMPRODUCT(((YEAR(חובות!$K$20:$K$33)*12+MONTH(חובות!$K$20:$K$33))&lt;=(YEAR(M$62)*12+MONTH(M$62)))*((YEAR(חובות!$K$20:$K$33)*12+MONTH(חובות!$K$20:$K$33)+חובות!$D$20:$D$33-1)&gt;=(YEAR(M$62)*12+MONTH(M$62)))*(חובות!$E$20:$E$33))</f>
        <v/>
      </c>
      <c r="N28" s="73" t="n"/>
      <c r="O28" s="46">
        <f>SUMPRODUCT(((YEAR(חובות!$K$20:$K$33)*12+MONTH(חובות!$K$20:$K$33))&lt;=(YEAR(O$62)*12+MONTH(O$62)))*((YEAR(חובות!$K$20:$K$33)*12+MONTH(חובות!$K$20:$K$33)+חובות!$D$20:$D$33-1)&gt;=(YEAR(O$62)*12+MONTH(O$62)))*(חובות!$E$20:$E$33))</f>
        <v/>
      </c>
      <c r="P28" s="73" t="n"/>
      <c r="Q28" s="46">
        <f>SUMPRODUCT(((YEAR(חובות!$K$20:$K$33)*12+MONTH(חובות!$K$20:$K$33))&lt;=(YEAR(Q$62)*12+MONTH(Q$62)))*((YEAR(חובות!$K$20:$K$33)*12+MONTH(חובות!$K$20:$K$33)+חובות!$D$20:$D$33-1)&gt;=(YEAR(Q$62)*12+MONTH(Q$62)))*(חובות!$E$20:$E$33))</f>
        <v/>
      </c>
      <c r="R28" s="73" t="n"/>
      <c r="S28" s="46">
        <f>SUMPRODUCT(((YEAR(חובות!$K$20:$K$33)*12+MONTH(חובות!$K$20:$K$33))&lt;=(YEAR(S$62)*12+MONTH(S$62)))*((YEAR(חובות!$K$20:$K$33)*12+MONTH(חובות!$K$20:$K$33)+חובות!$D$20:$D$33-1)&gt;=(YEAR(S$62)*12+MONTH(S$62)))*(חובות!$E$20:$E$33))</f>
        <v/>
      </c>
      <c r="T28" s="73" t="n"/>
      <c r="U28" s="46">
        <f>SUMPRODUCT(((YEAR(חובות!$K$20:$K$33)*12+MONTH(חובות!$K$20:$K$33))&lt;=(YEAR(U$62)*12+MONTH(U$62)))*((YEAR(חובות!$K$20:$K$33)*12+MONTH(חובות!$K$20:$K$33)+חובות!$D$20:$D$33-1)&gt;=(YEAR(U$62)*12+MONTH(U$62)))*(חובות!$E$20:$E$33))</f>
        <v/>
      </c>
      <c r="V28" s="73" t="n"/>
      <c r="W28" s="46">
        <f>SUMPRODUCT(((YEAR(חובות!$K$20:$K$33)*12+MONTH(חובות!$K$20:$K$33))&lt;=(YEAR(W$62)*12+MONTH(W$62)))*((YEAR(חובות!$K$20:$K$33)*12+MONTH(חובות!$K$20:$K$33)+חובות!$D$20:$D$33-1)&gt;=(YEAR(W$62)*12+MONTH(W$62)))*(חובות!$E$20:$E$33))</f>
        <v/>
      </c>
      <c r="X28" s="73" t="n"/>
      <c r="Y28" s="46">
        <f>SUMPRODUCT(((YEAR(חובות!$K$20:$K$33)*12+MONTH(חובות!$K$20:$K$33))&lt;=(YEAR(Y$62)*12+MONTH(Y$62)))*((YEAR(חובות!$K$20:$K$33)*12+MONTH(חובות!$K$20:$K$33)+חובות!$D$20:$D$33-1)&gt;=(YEAR(Y$62)*12+MONTH(Y$62)))*(חובות!$E$20:$E$33))</f>
        <v/>
      </c>
      <c r="Z28" s="73" t="n"/>
      <c r="AA28" s="47">
        <f>SUM(C28,E28,G28,I28,K28,M28,O28,Q28,S28,U28,W28,Y28)</f>
        <v/>
      </c>
      <c r="AB28" s="47">
        <f>SUM(D28,F28,H28,J28,L28,N28,P28,R28,T28,V28,X28,Z28)</f>
        <v/>
      </c>
    </row>
    <row r="29">
      <c r="B29" s="90">
        <f>IF(מיפוי!B30="","",מיפוי!B30)</f>
        <v/>
      </c>
      <c r="C29" s="46">
        <f>מיפוי!L$40</f>
        <v/>
      </c>
      <c r="D29" s="73" t="n"/>
      <c r="E29" s="46">
        <f>C29</f>
        <v/>
      </c>
      <c r="F29" s="73" t="n"/>
      <c r="G29" s="46">
        <f>E29</f>
        <v/>
      </c>
      <c r="H29" s="73" t="n"/>
      <c r="I29" s="46">
        <f>G29</f>
        <v/>
      </c>
      <c r="J29" s="73" t="n"/>
      <c r="K29" s="46">
        <f>I29</f>
        <v/>
      </c>
      <c r="L29" s="73" t="n"/>
      <c r="M29" s="46">
        <f>K29</f>
        <v/>
      </c>
      <c r="N29" s="73" t="n"/>
      <c r="O29" s="46">
        <f>M29</f>
        <v/>
      </c>
      <c r="P29" s="73" t="n"/>
      <c r="Q29" s="46">
        <f>O29</f>
        <v/>
      </c>
      <c r="R29" s="73" t="n"/>
      <c r="S29" s="46">
        <f>Q29</f>
        <v/>
      </c>
      <c r="T29" s="73" t="n"/>
      <c r="U29" s="46">
        <f>S29</f>
        <v/>
      </c>
      <c r="V29" s="73" t="n"/>
      <c r="W29" s="46">
        <f>U29</f>
        <v/>
      </c>
      <c r="X29" s="73" t="n"/>
      <c r="Y29" s="46">
        <f>W29</f>
        <v/>
      </c>
      <c r="Z29" s="73" t="n"/>
      <c r="AA29" s="47">
        <f>SUM(C29,E29,G29,I29,K29,M29,O29,Q29,S29,U29,W29,Y29)</f>
        <v/>
      </c>
      <c r="AB29" s="47">
        <f>SUM(D29,F29,H29,J29,L29,N29,P29,R29,T29,V29,X29,Z29)</f>
        <v/>
      </c>
    </row>
    <row r="30">
      <c r="B30" s="90">
        <f>IF(מיפוי!B31="","",מיפוי!B31)</f>
        <v/>
      </c>
      <c r="C30" s="46">
        <f>IF(מיפוי!D31="","",מיפוי!D31)</f>
        <v/>
      </c>
      <c r="D30" s="73" t="n"/>
      <c r="E30" s="46">
        <f>C30</f>
        <v/>
      </c>
      <c r="F30" s="73" t="n"/>
      <c r="G30" s="46">
        <f>E30</f>
        <v/>
      </c>
      <c r="H30" s="73" t="n"/>
      <c r="I30" s="46">
        <f>G30</f>
        <v/>
      </c>
      <c r="J30" s="73" t="n"/>
      <c r="K30" s="46">
        <f>I30</f>
        <v/>
      </c>
      <c r="L30" s="73" t="n"/>
      <c r="M30" s="46">
        <f>K30</f>
        <v/>
      </c>
      <c r="N30" s="73" t="n"/>
      <c r="O30" s="46">
        <f>M30</f>
        <v/>
      </c>
      <c r="P30" s="73" t="n"/>
      <c r="Q30" s="46">
        <f>O30</f>
        <v/>
      </c>
      <c r="R30" s="73" t="n"/>
      <c r="S30" s="46">
        <f>Q30</f>
        <v/>
      </c>
      <c r="T30" s="73" t="n"/>
      <c r="U30" s="46">
        <f>S30</f>
        <v/>
      </c>
      <c r="V30" s="73" t="n"/>
      <c r="W30" s="46">
        <f>U30</f>
        <v/>
      </c>
      <c r="X30" s="73" t="n"/>
      <c r="Y30" s="46">
        <f>W30</f>
        <v/>
      </c>
      <c r="Z30" s="73" t="n"/>
      <c r="AA30" s="47">
        <f>SUM(C30,E30,G30,I30,K30,M30,O30,Q30,S30,U30,W30,Y30)</f>
        <v/>
      </c>
      <c r="AB30" s="47">
        <f>SUM(D30,F30,H30,J30,L30,N30,P30,R30,T30,V30,X30,Z30)</f>
        <v/>
      </c>
    </row>
    <row r="31">
      <c r="B31" s="90">
        <f>IF(מיפוי!B32="","",מיפוי!B32)</f>
        <v/>
      </c>
      <c r="C31" s="46">
        <f>IF(מיפוי!D32="","",מיפוי!D32)</f>
        <v/>
      </c>
      <c r="D31" s="73" t="n"/>
      <c r="E31" s="46">
        <f>C31</f>
        <v/>
      </c>
      <c r="F31" s="73" t="n"/>
      <c r="G31" s="46">
        <f>E31</f>
        <v/>
      </c>
      <c r="H31" s="73" t="n"/>
      <c r="I31" s="46">
        <f>G31</f>
        <v/>
      </c>
      <c r="J31" s="73" t="n"/>
      <c r="K31" s="46">
        <f>I31</f>
        <v/>
      </c>
      <c r="L31" s="73" t="n"/>
      <c r="M31" s="46">
        <f>K31</f>
        <v/>
      </c>
      <c r="N31" s="73" t="n"/>
      <c r="O31" s="46">
        <f>M31</f>
        <v/>
      </c>
      <c r="P31" s="73" t="n"/>
      <c r="Q31" s="46">
        <f>O31</f>
        <v/>
      </c>
      <c r="R31" s="73" t="n"/>
      <c r="S31" s="46">
        <f>Q31</f>
        <v/>
      </c>
      <c r="T31" s="73" t="n"/>
      <c r="U31" s="46">
        <f>S31</f>
        <v/>
      </c>
      <c r="V31" s="73" t="n"/>
      <c r="W31" s="46">
        <f>U31</f>
        <v/>
      </c>
      <c r="X31" s="73" t="n"/>
      <c r="Y31" s="46">
        <f>W31</f>
        <v/>
      </c>
      <c r="Z31" s="73" t="n"/>
      <c r="AA31" s="47">
        <f>SUM(C31,E31,G31,I31,K31,M31,O31,Q31,S31,U31,W31,Y31)</f>
        <v/>
      </c>
      <c r="AB31" s="47">
        <f>SUM(D31,F31,H31,J31,L31,N31,P31,R31,T31,V31,X31,Z31)</f>
        <v/>
      </c>
    </row>
    <row r="32">
      <c r="B32" s="90">
        <f>IF(מיפוי!B33="","",מיפוי!B33)</f>
        <v/>
      </c>
      <c r="C32" s="46">
        <f>IF(מיפוי!D33="","",מיפוי!D33)</f>
        <v/>
      </c>
      <c r="D32" s="73" t="n"/>
      <c r="E32" s="46">
        <f>C32</f>
        <v/>
      </c>
      <c r="F32" s="73" t="n"/>
      <c r="G32" s="46">
        <f>E32</f>
        <v/>
      </c>
      <c r="H32" s="73" t="n"/>
      <c r="I32" s="46">
        <f>G32</f>
        <v/>
      </c>
      <c r="J32" s="73" t="n"/>
      <c r="K32" s="46">
        <f>I32</f>
        <v/>
      </c>
      <c r="L32" s="73" t="n"/>
      <c r="M32" s="46">
        <f>K32</f>
        <v/>
      </c>
      <c r="N32" s="73" t="n"/>
      <c r="O32" s="46">
        <f>M32</f>
        <v/>
      </c>
      <c r="P32" s="73" t="n"/>
      <c r="Q32" s="46">
        <f>O32</f>
        <v/>
      </c>
      <c r="R32" s="73" t="n"/>
      <c r="S32" s="46">
        <f>Q32</f>
        <v/>
      </c>
      <c r="T32" s="73" t="n"/>
      <c r="U32" s="46">
        <f>S32</f>
        <v/>
      </c>
      <c r="V32" s="73" t="n"/>
      <c r="W32" s="46">
        <f>U32</f>
        <v/>
      </c>
      <c r="X32" s="73" t="n"/>
      <c r="Y32" s="46">
        <f>W32</f>
        <v/>
      </c>
      <c r="Z32" s="73" t="n"/>
      <c r="AA32" s="47">
        <f>SUM(C32,E32,G32,I32,K32,M32,O32,Q32,S32,U32,W32,Y32)</f>
        <v/>
      </c>
      <c r="AB32" s="47">
        <f>SUM(D32,F32,H32,J32,L32,N32,P32,R32,T32,V32,X32,Z32)</f>
        <v/>
      </c>
    </row>
    <row r="33">
      <c r="B33" s="23" t="inlineStr">
        <is>
          <t>סה"כ קבועות</t>
        </is>
      </c>
      <c r="C33" s="24">
        <f>SUM(C15:C32)</f>
        <v/>
      </c>
      <c r="D33" s="24">
        <f>SUM(D15:D32)</f>
        <v/>
      </c>
      <c r="E33" s="24">
        <f>SUM(E15:E32)</f>
        <v/>
      </c>
      <c r="F33" s="24">
        <f>SUM(F15:F32)</f>
        <v/>
      </c>
      <c r="G33" s="24">
        <f>SUM(G15:G32)</f>
        <v/>
      </c>
      <c r="H33" s="24">
        <f>SUM(H15:H32)</f>
        <v/>
      </c>
      <c r="I33" s="24">
        <f>SUM(I15:I32)</f>
        <v/>
      </c>
      <c r="J33" s="24">
        <f>SUM(J15:J32)</f>
        <v/>
      </c>
      <c r="K33" s="24">
        <f>SUM(K15:K32)</f>
        <v/>
      </c>
      <c r="L33" s="24">
        <f>SUM(L15:L32)</f>
        <v/>
      </c>
      <c r="M33" s="24">
        <f>SUM(M15:M32)</f>
        <v/>
      </c>
      <c r="N33" s="24">
        <f>SUM(N15:N32)</f>
        <v/>
      </c>
      <c r="O33" s="24">
        <f>SUM(O15:O32)</f>
        <v/>
      </c>
      <c r="P33" s="24">
        <f>SUM(P15:P32)</f>
        <v/>
      </c>
      <c r="Q33" s="24">
        <f>SUM(Q15:Q32)</f>
        <v/>
      </c>
      <c r="R33" s="24">
        <f>SUM(R15:R32)</f>
        <v/>
      </c>
      <c r="S33" s="24">
        <f>SUM(S15:S32)</f>
        <v/>
      </c>
      <c r="T33" s="24">
        <f>SUM(T15:T32)</f>
        <v/>
      </c>
      <c r="U33" s="24">
        <f>SUM(U15:U32)</f>
        <v/>
      </c>
      <c r="V33" s="24">
        <f>SUM(V15:V32)</f>
        <v/>
      </c>
      <c r="W33" s="24">
        <f>SUM(W15:W32)</f>
        <v/>
      </c>
      <c r="X33" s="24">
        <f>SUM(X15:X32)</f>
        <v/>
      </c>
      <c r="Y33" s="24">
        <f>SUM(Y15:Y32)</f>
        <v/>
      </c>
      <c r="Z33" s="24">
        <f>SUM(Z15:Z32)</f>
        <v/>
      </c>
      <c r="AA33" s="24">
        <f>SUM(AA15:AA32)</f>
        <v/>
      </c>
      <c r="AB33" s="24">
        <f>SUM(AB15:AB32)</f>
        <v/>
      </c>
    </row>
    <row r="34"/>
    <row r="35" ht="20" customHeight="1" s="65">
      <c r="B35" s="76" t="inlineStr">
        <is>
          <t>הוצאות משתנות</t>
        </is>
      </c>
    </row>
    <row r="36">
      <c r="B36" s="90">
        <f>IF(מיפוי!B38="","",מיפוי!B38)</f>
        <v/>
      </c>
      <c r="C36" s="46">
        <f>IF(מיפוי!D38="","",מיפוי!D38)</f>
        <v/>
      </c>
      <c r="D36" s="73" t="n"/>
      <c r="E36" s="46">
        <f>C36</f>
        <v/>
      </c>
      <c r="F36" s="73" t="n"/>
      <c r="G36" s="46">
        <f>E36</f>
        <v/>
      </c>
      <c r="H36" s="73" t="n"/>
      <c r="I36" s="46">
        <f>G36</f>
        <v/>
      </c>
      <c r="J36" s="73" t="n"/>
      <c r="K36" s="46">
        <f>I36</f>
        <v/>
      </c>
      <c r="L36" s="73" t="n"/>
      <c r="M36" s="46">
        <f>K36</f>
        <v/>
      </c>
      <c r="N36" s="73" t="n"/>
      <c r="O36" s="46">
        <f>M36</f>
        <v/>
      </c>
      <c r="P36" s="73" t="n"/>
      <c r="Q36" s="46">
        <f>O36</f>
        <v/>
      </c>
      <c r="R36" s="73" t="n"/>
      <c r="S36" s="46">
        <f>Q36</f>
        <v/>
      </c>
      <c r="T36" s="73" t="n"/>
      <c r="U36" s="46">
        <f>S36</f>
        <v/>
      </c>
      <c r="V36" s="73" t="n"/>
      <c r="W36" s="46">
        <f>U36</f>
        <v/>
      </c>
      <c r="X36" s="73" t="n"/>
      <c r="Y36" s="46">
        <f>W36</f>
        <v/>
      </c>
      <c r="Z36" s="73" t="n"/>
      <c r="AA36" s="47">
        <f>SUM(C36,E36,G36,I36,K36,M36,O36,Q36,S36,U36,W36,Y36)</f>
        <v/>
      </c>
      <c r="AB36" s="47">
        <f>SUM(D36,F36,H36,J36,L36,N36,P36,R36,T36,V36,X36,Z36)</f>
        <v/>
      </c>
    </row>
    <row r="37">
      <c r="B37" s="90">
        <f>IF(מיפוי!B39="","",מיפוי!B39)</f>
        <v/>
      </c>
      <c r="C37" s="46">
        <f>IF(מיפוי!D39="","",מיפוי!D39)</f>
        <v/>
      </c>
      <c r="D37" s="73" t="n"/>
      <c r="E37" s="46">
        <f>C37</f>
        <v/>
      </c>
      <c r="F37" s="73" t="n"/>
      <c r="G37" s="46">
        <f>E37</f>
        <v/>
      </c>
      <c r="H37" s="73" t="n"/>
      <c r="I37" s="46">
        <f>G37</f>
        <v/>
      </c>
      <c r="J37" s="73" t="n"/>
      <c r="K37" s="46">
        <f>I37</f>
        <v/>
      </c>
      <c r="L37" s="73" t="n"/>
      <c r="M37" s="46">
        <f>K37</f>
        <v/>
      </c>
      <c r="N37" s="73" t="n"/>
      <c r="O37" s="46">
        <f>M37</f>
        <v/>
      </c>
      <c r="P37" s="73" t="n"/>
      <c r="Q37" s="46">
        <f>O37</f>
        <v/>
      </c>
      <c r="R37" s="73" t="n"/>
      <c r="S37" s="46">
        <f>Q37</f>
        <v/>
      </c>
      <c r="T37" s="73" t="n"/>
      <c r="U37" s="46">
        <f>S37</f>
        <v/>
      </c>
      <c r="V37" s="73" t="n"/>
      <c r="W37" s="46">
        <f>U37</f>
        <v/>
      </c>
      <c r="X37" s="73" t="n"/>
      <c r="Y37" s="46">
        <f>W37</f>
        <v/>
      </c>
      <c r="Z37" s="73" t="n"/>
      <c r="AA37" s="47">
        <f>SUM(C37,E37,G37,I37,K37,M37,O37,Q37,S37,U37,W37,Y37)</f>
        <v/>
      </c>
      <c r="AB37" s="47">
        <f>SUM(D37,F37,H37,J37,L37,N37,P37,R37,T37,V37,X37,Z37)</f>
        <v/>
      </c>
    </row>
    <row r="38">
      <c r="B38" s="90">
        <f>IF(מיפוי!B40="","",מיפוי!B40)</f>
        <v/>
      </c>
      <c r="C38" s="46">
        <f>IF(מיפוי!D40="","",מיפוי!D40)</f>
        <v/>
      </c>
      <c r="D38" s="73" t="n"/>
      <c r="E38" s="46">
        <f>C38</f>
        <v/>
      </c>
      <c r="F38" s="73" t="n"/>
      <c r="G38" s="46">
        <f>E38</f>
        <v/>
      </c>
      <c r="H38" s="73" t="n"/>
      <c r="I38" s="46">
        <f>G38</f>
        <v/>
      </c>
      <c r="J38" s="73" t="n"/>
      <c r="K38" s="46">
        <f>I38</f>
        <v/>
      </c>
      <c r="L38" s="73" t="n"/>
      <c r="M38" s="46">
        <f>K38</f>
        <v/>
      </c>
      <c r="N38" s="73" t="n"/>
      <c r="O38" s="46">
        <f>M38</f>
        <v/>
      </c>
      <c r="P38" s="73" t="n"/>
      <c r="Q38" s="46">
        <f>O38</f>
        <v/>
      </c>
      <c r="R38" s="73" t="n"/>
      <c r="S38" s="46">
        <f>Q38</f>
        <v/>
      </c>
      <c r="T38" s="73" t="n"/>
      <c r="U38" s="46">
        <f>S38</f>
        <v/>
      </c>
      <c r="V38" s="73" t="n"/>
      <c r="W38" s="46">
        <f>U38</f>
        <v/>
      </c>
      <c r="X38" s="73" t="n"/>
      <c r="Y38" s="46">
        <f>W38</f>
        <v/>
      </c>
      <c r="Z38" s="73" t="n"/>
      <c r="AA38" s="47">
        <f>SUM(C38,E38,G38,I38,K38,M38,O38,Q38,S38,U38,W38,Y38)</f>
        <v/>
      </c>
      <c r="AB38" s="47">
        <f>SUM(D38,F38,H38,J38,L38,N38,P38,R38,T38,V38,X38,Z38)</f>
        <v/>
      </c>
    </row>
    <row r="39">
      <c r="B39" s="90">
        <f>IF(מיפוי!B41="","",מיפוי!B41)</f>
        <v/>
      </c>
      <c r="C39" s="46">
        <f>IF(מיפוי!D41="","",מיפוי!D41)</f>
        <v/>
      </c>
      <c r="D39" s="73" t="n"/>
      <c r="E39" s="46">
        <f>C39</f>
        <v/>
      </c>
      <c r="F39" s="73" t="n"/>
      <c r="G39" s="46">
        <f>E39</f>
        <v/>
      </c>
      <c r="H39" s="73" t="n"/>
      <c r="I39" s="46">
        <f>G39</f>
        <v/>
      </c>
      <c r="J39" s="73" t="n"/>
      <c r="K39" s="46">
        <f>I39</f>
        <v/>
      </c>
      <c r="L39" s="73" t="n"/>
      <c r="M39" s="46">
        <f>K39</f>
        <v/>
      </c>
      <c r="N39" s="73" t="n"/>
      <c r="O39" s="46">
        <f>M39</f>
        <v/>
      </c>
      <c r="P39" s="73" t="n"/>
      <c r="Q39" s="46">
        <f>O39</f>
        <v/>
      </c>
      <c r="R39" s="73" t="n"/>
      <c r="S39" s="46">
        <f>Q39</f>
        <v/>
      </c>
      <c r="T39" s="73" t="n"/>
      <c r="U39" s="46">
        <f>S39</f>
        <v/>
      </c>
      <c r="V39" s="73" t="n"/>
      <c r="W39" s="46">
        <f>U39</f>
        <v/>
      </c>
      <c r="X39" s="73" t="n"/>
      <c r="Y39" s="46">
        <f>W39</f>
        <v/>
      </c>
      <c r="Z39" s="73" t="n"/>
      <c r="AA39" s="47">
        <f>SUM(C39,E39,G39,I39,K39,M39,O39,Q39,S39,U39,W39,Y39)</f>
        <v/>
      </c>
      <c r="AB39" s="47">
        <f>SUM(D39,F39,H39,J39,L39,N39,P39,R39,T39,V39,X39,Z39)</f>
        <v/>
      </c>
    </row>
    <row r="40">
      <c r="B40" s="90">
        <f>IF(מיפוי!B42="","",מיפוי!B42)</f>
        <v/>
      </c>
      <c r="C40" s="46">
        <f>IF(מיפוי!D42="","",מיפוי!D42)</f>
        <v/>
      </c>
      <c r="D40" s="73" t="n"/>
      <c r="E40" s="46">
        <f>C40</f>
        <v/>
      </c>
      <c r="F40" s="73" t="n"/>
      <c r="G40" s="46">
        <f>E40</f>
        <v/>
      </c>
      <c r="H40" s="73" t="n"/>
      <c r="I40" s="46">
        <f>G40</f>
        <v/>
      </c>
      <c r="J40" s="73" t="n"/>
      <c r="K40" s="46">
        <f>I40</f>
        <v/>
      </c>
      <c r="L40" s="73" t="n"/>
      <c r="M40" s="46">
        <f>K40</f>
        <v/>
      </c>
      <c r="N40" s="73" t="n"/>
      <c r="O40" s="46">
        <f>M40</f>
        <v/>
      </c>
      <c r="P40" s="73" t="n"/>
      <c r="Q40" s="46">
        <f>O40</f>
        <v/>
      </c>
      <c r="R40" s="73" t="n"/>
      <c r="S40" s="46">
        <f>Q40</f>
        <v/>
      </c>
      <c r="T40" s="73" t="n"/>
      <c r="U40" s="46">
        <f>S40</f>
        <v/>
      </c>
      <c r="V40" s="73" t="n"/>
      <c r="W40" s="46">
        <f>U40</f>
        <v/>
      </c>
      <c r="X40" s="73" t="n"/>
      <c r="Y40" s="46">
        <f>W40</f>
        <v/>
      </c>
      <c r="Z40" s="73" t="n"/>
      <c r="AA40" s="47">
        <f>SUM(C40,E40,G40,I40,K40,M40,O40,Q40,S40,U40,W40,Y40)</f>
        <v/>
      </c>
      <c r="AB40" s="47">
        <f>SUM(D40,F40,H40,J40,L40,N40,P40,R40,T40,V40,X40,Z40)</f>
        <v/>
      </c>
    </row>
    <row r="41">
      <c r="B41" s="90">
        <f>IF(מיפוי!B43="","",מיפוי!B43)</f>
        <v/>
      </c>
      <c r="C41" s="46">
        <f>IF(מיפוי!D43="","",מיפוי!D43)</f>
        <v/>
      </c>
      <c r="D41" s="73" t="n"/>
      <c r="E41" s="46">
        <f>C41</f>
        <v/>
      </c>
      <c r="F41" s="73" t="n"/>
      <c r="G41" s="46">
        <f>E41</f>
        <v/>
      </c>
      <c r="H41" s="73" t="n"/>
      <c r="I41" s="46">
        <f>G41</f>
        <v/>
      </c>
      <c r="J41" s="73" t="n"/>
      <c r="K41" s="46">
        <f>I41</f>
        <v/>
      </c>
      <c r="L41" s="73" t="n"/>
      <c r="M41" s="46">
        <f>K41</f>
        <v/>
      </c>
      <c r="N41" s="73" t="n"/>
      <c r="O41" s="46">
        <f>M41</f>
        <v/>
      </c>
      <c r="P41" s="73" t="n"/>
      <c r="Q41" s="46">
        <f>O41</f>
        <v/>
      </c>
      <c r="R41" s="73" t="n"/>
      <c r="S41" s="46">
        <f>Q41</f>
        <v/>
      </c>
      <c r="T41" s="73" t="n"/>
      <c r="U41" s="46">
        <f>S41</f>
        <v/>
      </c>
      <c r="V41" s="73" t="n"/>
      <c r="W41" s="46">
        <f>U41</f>
        <v/>
      </c>
      <c r="X41" s="73" t="n"/>
      <c r="Y41" s="46">
        <f>W41</f>
        <v/>
      </c>
      <c r="Z41" s="73" t="n"/>
      <c r="AA41" s="47">
        <f>SUM(C41,E41,G41,I41,K41,M41,O41,Q41,S41,U41,W41,Y41)</f>
        <v/>
      </c>
      <c r="AB41" s="47">
        <f>SUM(D41,F41,H41,J41,L41,N41,P41,R41,T41,V41,X41,Z41)</f>
        <v/>
      </c>
    </row>
    <row r="42">
      <c r="B42" s="90">
        <f>IF(מיפוי!B44="","",מיפוי!B44)</f>
        <v/>
      </c>
      <c r="C42" s="46">
        <f>IF(מיפוי!D44="","",מיפוי!D44)</f>
        <v/>
      </c>
      <c r="D42" s="73" t="n"/>
      <c r="E42" s="46">
        <f>C42</f>
        <v/>
      </c>
      <c r="F42" s="73" t="n"/>
      <c r="G42" s="46">
        <f>E42</f>
        <v/>
      </c>
      <c r="H42" s="73" t="n"/>
      <c r="I42" s="46">
        <f>G42</f>
        <v/>
      </c>
      <c r="J42" s="73" t="n"/>
      <c r="K42" s="46">
        <f>I42</f>
        <v/>
      </c>
      <c r="L42" s="73" t="n"/>
      <c r="M42" s="46">
        <f>K42</f>
        <v/>
      </c>
      <c r="N42" s="73" t="n"/>
      <c r="O42" s="46">
        <f>M42</f>
        <v/>
      </c>
      <c r="P42" s="73" t="n"/>
      <c r="Q42" s="46">
        <f>O42</f>
        <v/>
      </c>
      <c r="R42" s="73" t="n"/>
      <c r="S42" s="46">
        <f>Q42</f>
        <v/>
      </c>
      <c r="T42" s="73" t="n"/>
      <c r="U42" s="46">
        <f>S42</f>
        <v/>
      </c>
      <c r="V42" s="73" t="n"/>
      <c r="W42" s="46">
        <f>U42</f>
        <v/>
      </c>
      <c r="X42" s="73" t="n"/>
      <c r="Y42" s="46">
        <f>W42</f>
        <v/>
      </c>
      <c r="Z42" s="73" t="n"/>
      <c r="AA42" s="47">
        <f>SUM(C42,E42,G42,I42,K42,M42,O42,Q42,S42,U42,W42,Y42)</f>
        <v/>
      </c>
      <c r="AB42" s="47">
        <f>SUM(D42,F42,H42,J42,L42,N42,P42,R42,T42,V42,X42,Z42)</f>
        <v/>
      </c>
    </row>
    <row r="43">
      <c r="B43" s="90">
        <f>IF(מיפוי!B45="","",מיפוי!B45)</f>
        <v/>
      </c>
      <c r="C43" s="46">
        <f>IF(מיפוי!D45="","",מיפוי!D45)</f>
        <v/>
      </c>
      <c r="D43" s="73" t="n"/>
      <c r="E43" s="46">
        <f>C43</f>
        <v/>
      </c>
      <c r="F43" s="73" t="n"/>
      <c r="G43" s="46">
        <f>E43</f>
        <v/>
      </c>
      <c r="H43" s="73" t="n"/>
      <c r="I43" s="46">
        <f>G43</f>
        <v/>
      </c>
      <c r="J43" s="73" t="n"/>
      <c r="K43" s="46">
        <f>I43</f>
        <v/>
      </c>
      <c r="L43" s="73" t="n"/>
      <c r="M43" s="46">
        <f>K43</f>
        <v/>
      </c>
      <c r="N43" s="73" t="n"/>
      <c r="O43" s="46">
        <f>M43</f>
        <v/>
      </c>
      <c r="P43" s="73" t="n"/>
      <c r="Q43" s="46">
        <f>O43</f>
        <v/>
      </c>
      <c r="R43" s="73" t="n"/>
      <c r="S43" s="46">
        <f>Q43</f>
        <v/>
      </c>
      <c r="T43" s="73" t="n"/>
      <c r="U43" s="46">
        <f>S43</f>
        <v/>
      </c>
      <c r="V43" s="73" t="n"/>
      <c r="W43" s="46">
        <f>U43</f>
        <v/>
      </c>
      <c r="X43" s="73" t="n"/>
      <c r="Y43" s="46">
        <f>W43</f>
        <v/>
      </c>
      <c r="Z43" s="73" t="n"/>
      <c r="AA43" s="47">
        <f>SUM(C43,E43,G43,I43,K43,M43,O43,Q43,S43,U43,W43,Y43)</f>
        <v/>
      </c>
      <c r="AB43" s="47">
        <f>SUM(D43,F43,H43,J43,L43,N43,P43,R43,T43,V43,X43,Z43)</f>
        <v/>
      </c>
    </row>
    <row r="44">
      <c r="B44" s="90">
        <f>IF(מיפוי!B46="","",מיפוי!B46)</f>
        <v/>
      </c>
      <c r="C44" s="46">
        <f>IF(מיפוי!D46="","",מיפוי!D46)</f>
        <v/>
      </c>
      <c r="D44" s="73" t="n"/>
      <c r="E44" s="46">
        <f>C44</f>
        <v/>
      </c>
      <c r="F44" s="73" t="n"/>
      <c r="G44" s="46">
        <f>E44</f>
        <v/>
      </c>
      <c r="H44" s="73" t="n"/>
      <c r="I44" s="46">
        <f>G44</f>
        <v/>
      </c>
      <c r="J44" s="73" t="n"/>
      <c r="K44" s="46">
        <f>I44</f>
        <v/>
      </c>
      <c r="L44" s="73" t="n"/>
      <c r="M44" s="46">
        <f>K44</f>
        <v/>
      </c>
      <c r="N44" s="73" t="n"/>
      <c r="O44" s="46">
        <f>M44</f>
        <v/>
      </c>
      <c r="P44" s="73" t="n"/>
      <c r="Q44" s="46">
        <f>O44</f>
        <v/>
      </c>
      <c r="R44" s="73" t="n"/>
      <c r="S44" s="46">
        <f>Q44</f>
        <v/>
      </c>
      <c r="T44" s="73" t="n"/>
      <c r="U44" s="46">
        <f>S44</f>
        <v/>
      </c>
      <c r="V44" s="73" t="n"/>
      <c r="W44" s="46">
        <f>U44</f>
        <v/>
      </c>
      <c r="X44" s="73" t="n"/>
      <c r="Y44" s="46">
        <f>W44</f>
        <v/>
      </c>
      <c r="Z44" s="73" t="n"/>
      <c r="AA44" s="47">
        <f>SUM(C44,E44,G44,I44,K44,M44,O44,Q44,S44,U44,W44,Y44)</f>
        <v/>
      </c>
      <c r="AB44" s="47">
        <f>SUM(D44,F44,H44,J44,L44,N44,P44,R44,T44,V44,X44,Z44)</f>
        <v/>
      </c>
    </row>
    <row r="45">
      <c r="B45" s="90">
        <f>IF(מיפוי!B47="","",מיפוי!B47)</f>
        <v/>
      </c>
      <c r="C45" s="46">
        <f>IF(מיפוי!D47="","",מיפוי!D47)</f>
        <v/>
      </c>
      <c r="D45" s="73" t="n"/>
      <c r="E45" s="46">
        <f>C45</f>
        <v/>
      </c>
      <c r="F45" s="73" t="n"/>
      <c r="G45" s="46">
        <f>E45</f>
        <v/>
      </c>
      <c r="H45" s="73" t="n"/>
      <c r="I45" s="46">
        <f>G45</f>
        <v/>
      </c>
      <c r="J45" s="73" t="n"/>
      <c r="K45" s="46">
        <f>I45</f>
        <v/>
      </c>
      <c r="L45" s="73" t="n"/>
      <c r="M45" s="46">
        <f>K45</f>
        <v/>
      </c>
      <c r="N45" s="73" t="n"/>
      <c r="O45" s="46">
        <f>M45</f>
        <v/>
      </c>
      <c r="P45" s="73" t="n"/>
      <c r="Q45" s="46">
        <f>O45</f>
        <v/>
      </c>
      <c r="R45" s="73" t="n"/>
      <c r="S45" s="46">
        <f>Q45</f>
        <v/>
      </c>
      <c r="T45" s="73" t="n"/>
      <c r="U45" s="46">
        <f>S45</f>
        <v/>
      </c>
      <c r="V45" s="73" t="n"/>
      <c r="W45" s="46">
        <f>U45</f>
        <v/>
      </c>
      <c r="X45" s="73" t="n"/>
      <c r="Y45" s="46">
        <f>W45</f>
        <v/>
      </c>
      <c r="Z45" s="73" t="n"/>
      <c r="AA45" s="47">
        <f>SUM(C45,E45,G45,I45,K45,M45,O45,Q45,S45,U45,W45,Y45)</f>
        <v/>
      </c>
      <c r="AB45" s="47">
        <f>SUM(D45,F45,H45,J45,L45,N45,P45,R45,T45,V45,X45,Z45)</f>
        <v/>
      </c>
    </row>
    <row r="46">
      <c r="B46" s="90">
        <f>IF(מיפוי!B48="","",מיפוי!B48)</f>
        <v/>
      </c>
      <c r="C46" s="46">
        <f>IF(מיפוי!D48="","",מיפוי!D48)</f>
        <v/>
      </c>
      <c r="D46" s="73" t="n"/>
      <c r="E46" s="46">
        <f>C46</f>
        <v/>
      </c>
      <c r="F46" s="73" t="n"/>
      <c r="G46" s="46">
        <f>E46</f>
        <v/>
      </c>
      <c r="H46" s="73" t="n"/>
      <c r="I46" s="46">
        <f>G46</f>
        <v/>
      </c>
      <c r="J46" s="73" t="n"/>
      <c r="K46" s="46">
        <f>I46</f>
        <v/>
      </c>
      <c r="L46" s="73" t="n"/>
      <c r="M46" s="46">
        <f>K46</f>
        <v/>
      </c>
      <c r="N46" s="73" t="n"/>
      <c r="O46" s="46">
        <f>M46</f>
        <v/>
      </c>
      <c r="P46" s="73" t="n"/>
      <c r="Q46" s="46">
        <f>O46</f>
        <v/>
      </c>
      <c r="R46" s="73" t="n"/>
      <c r="S46" s="46">
        <f>Q46</f>
        <v/>
      </c>
      <c r="T46" s="73" t="n"/>
      <c r="U46" s="46">
        <f>S46</f>
        <v/>
      </c>
      <c r="V46" s="73" t="n"/>
      <c r="W46" s="46">
        <f>U46</f>
        <v/>
      </c>
      <c r="X46" s="73" t="n"/>
      <c r="Y46" s="46">
        <f>W46</f>
        <v/>
      </c>
      <c r="Z46" s="73" t="n"/>
      <c r="AA46" s="47">
        <f>SUM(C46,E46,G46,I46,K46,M46,O46,Q46,S46,U46,W46,Y46)</f>
        <v/>
      </c>
      <c r="AB46" s="47">
        <f>SUM(D46,F46,H46,J46,L46,N46,P46,R46,T46,V46,X46,Z46)</f>
        <v/>
      </c>
    </row>
    <row r="47">
      <c r="B47" s="90">
        <f>IF(מיפוי!B49="","",מיפוי!B49)</f>
        <v/>
      </c>
      <c r="C47" s="46">
        <f>IF(מיפוי!D49="","",מיפוי!D49)</f>
        <v/>
      </c>
      <c r="D47" s="73" t="n"/>
      <c r="E47" s="46">
        <f>C47</f>
        <v/>
      </c>
      <c r="F47" s="73" t="n"/>
      <c r="G47" s="46">
        <f>E47</f>
        <v/>
      </c>
      <c r="H47" s="73" t="n"/>
      <c r="I47" s="46">
        <f>G47</f>
        <v/>
      </c>
      <c r="J47" s="73" t="n"/>
      <c r="K47" s="46">
        <f>I47</f>
        <v/>
      </c>
      <c r="L47" s="73" t="n"/>
      <c r="M47" s="46">
        <f>K47</f>
        <v/>
      </c>
      <c r="N47" s="73" t="n"/>
      <c r="O47" s="46">
        <f>M47</f>
        <v/>
      </c>
      <c r="P47" s="73" t="n"/>
      <c r="Q47" s="46">
        <f>O47</f>
        <v/>
      </c>
      <c r="R47" s="73" t="n"/>
      <c r="S47" s="46">
        <f>Q47</f>
        <v/>
      </c>
      <c r="T47" s="73" t="n"/>
      <c r="U47" s="46">
        <f>S47</f>
        <v/>
      </c>
      <c r="V47" s="73" t="n"/>
      <c r="W47" s="46">
        <f>U47</f>
        <v/>
      </c>
      <c r="X47" s="73" t="n"/>
      <c r="Y47" s="46">
        <f>W47</f>
        <v/>
      </c>
      <c r="Z47" s="73" t="n"/>
      <c r="AA47" s="47">
        <f>SUM(C47,E47,G47,I47,K47,M47,O47,Q47,S47,U47,W47,Y47)</f>
        <v/>
      </c>
      <c r="AB47" s="47">
        <f>SUM(D47,F47,H47,J47,L47,N47,P47,R47,T47,V47,X47,Z47)</f>
        <v/>
      </c>
    </row>
    <row r="48">
      <c r="B48" s="90">
        <f>IF(מיפוי!B50="","",מיפוי!B50)</f>
        <v/>
      </c>
      <c r="C48" s="46">
        <f>IF(מיפוי!D50="","",מיפוי!D50)</f>
        <v/>
      </c>
      <c r="D48" s="73" t="n"/>
      <c r="E48" s="46">
        <f>C48</f>
        <v/>
      </c>
      <c r="F48" s="73" t="n"/>
      <c r="G48" s="46">
        <f>E48</f>
        <v/>
      </c>
      <c r="H48" s="73" t="n"/>
      <c r="I48" s="46">
        <f>G48</f>
        <v/>
      </c>
      <c r="J48" s="73" t="n"/>
      <c r="K48" s="46">
        <f>I48</f>
        <v/>
      </c>
      <c r="L48" s="73" t="n"/>
      <c r="M48" s="46">
        <f>K48</f>
        <v/>
      </c>
      <c r="N48" s="73" t="n"/>
      <c r="O48" s="46">
        <f>M48</f>
        <v/>
      </c>
      <c r="P48" s="73" t="n"/>
      <c r="Q48" s="46">
        <f>O48</f>
        <v/>
      </c>
      <c r="R48" s="73" t="n"/>
      <c r="S48" s="46">
        <f>Q48</f>
        <v/>
      </c>
      <c r="T48" s="73" t="n"/>
      <c r="U48" s="46">
        <f>S48</f>
        <v/>
      </c>
      <c r="V48" s="73" t="n"/>
      <c r="W48" s="46">
        <f>U48</f>
        <v/>
      </c>
      <c r="X48" s="73" t="n"/>
      <c r="Y48" s="46">
        <f>W48</f>
        <v/>
      </c>
      <c r="Z48" s="73" t="n"/>
      <c r="AA48" s="47">
        <f>SUM(C48,E48,G48,I48,K48,M48,O48,Q48,S48,U48,W48,Y48)</f>
        <v/>
      </c>
      <c r="AB48" s="47">
        <f>SUM(D48,F48,H48,J48,L48,N48,P48,R48,T48,V48,X48,Z48)</f>
        <v/>
      </c>
    </row>
    <row r="49">
      <c r="B49" s="90">
        <f>IF(מיפוי!B51="","",מיפוי!B51)</f>
        <v/>
      </c>
      <c r="C49" s="46">
        <f>IF(מיפוי!D51="","",מיפוי!D51)</f>
        <v/>
      </c>
      <c r="D49" s="73" t="n"/>
      <c r="E49" s="46">
        <f>C49</f>
        <v/>
      </c>
      <c r="F49" s="73" t="n"/>
      <c r="G49" s="46">
        <f>E49</f>
        <v/>
      </c>
      <c r="H49" s="73" t="n"/>
      <c r="I49" s="46">
        <f>G49</f>
        <v/>
      </c>
      <c r="J49" s="73" t="n"/>
      <c r="K49" s="46">
        <f>I49</f>
        <v/>
      </c>
      <c r="L49" s="73" t="n"/>
      <c r="M49" s="46">
        <f>K49</f>
        <v/>
      </c>
      <c r="N49" s="73" t="n"/>
      <c r="O49" s="46">
        <f>M49</f>
        <v/>
      </c>
      <c r="P49" s="73" t="n"/>
      <c r="Q49" s="46">
        <f>O49</f>
        <v/>
      </c>
      <c r="R49" s="73" t="n"/>
      <c r="S49" s="46">
        <f>Q49</f>
        <v/>
      </c>
      <c r="T49" s="73" t="n"/>
      <c r="U49" s="46">
        <f>S49</f>
        <v/>
      </c>
      <c r="V49" s="73" t="n"/>
      <c r="W49" s="46">
        <f>U49</f>
        <v/>
      </c>
      <c r="X49" s="73" t="n"/>
      <c r="Y49" s="46">
        <f>W49</f>
        <v/>
      </c>
      <c r="Z49" s="73" t="n"/>
      <c r="AA49" s="47">
        <f>SUM(C49,E49,G49,I49,K49,M49,O49,Q49,S49,U49,W49,Y49)</f>
        <v/>
      </c>
      <c r="AB49" s="47">
        <f>SUM(D49,F49,H49,J49,L49,N49,P49,R49,T49,V49,X49,Z49)</f>
        <v/>
      </c>
    </row>
    <row r="50">
      <c r="B50" s="90">
        <f>IF(מיפוי!B52="","",מיפוי!B52)</f>
        <v/>
      </c>
      <c r="C50" s="46">
        <f>IF(מיפוי!D52="","",מיפוי!D52)</f>
        <v/>
      </c>
      <c r="D50" s="73" t="n"/>
      <c r="E50" s="46">
        <f>C50</f>
        <v/>
      </c>
      <c r="F50" s="73" t="n"/>
      <c r="G50" s="46">
        <f>E50</f>
        <v/>
      </c>
      <c r="H50" s="73" t="n"/>
      <c r="I50" s="46">
        <f>G50</f>
        <v/>
      </c>
      <c r="J50" s="73" t="n"/>
      <c r="K50" s="46">
        <f>I50</f>
        <v/>
      </c>
      <c r="L50" s="73" t="n"/>
      <c r="M50" s="46">
        <f>K50</f>
        <v/>
      </c>
      <c r="N50" s="73" t="n"/>
      <c r="O50" s="46">
        <f>M50</f>
        <v/>
      </c>
      <c r="P50" s="73" t="n"/>
      <c r="Q50" s="46">
        <f>O50</f>
        <v/>
      </c>
      <c r="R50" s="73" t="n"/>
      <c r="S50" s="46">
        <f>Q50</f>
        <v/>
      </c>
      <c r="T50" s="73" t="n"/>
      <c r="U50" s="46">
        <f>S50</f>
        <v/>
      </c>
      <c r="V50" s="73" t="n"/>
      <c r="W50" s="46">
        <f>U50</f>
        <v/>
      </c>
      <c r="X50" s="73" t="n"/>
      <c r="Y50" s="46">
        <f>W50</f>
        <v/>
      </c>
      <c r="Z50" s="73" t="n"/>
      <c r="AA50" s="47">
        <f>SUM(C50,E50,G50,I50,K50,M50,O50,Q50,S50,U50,W50,Y50)</f>
        <v/>
      </c>
      <c r="AB50" s="47">
        <f>SUM(D50,F50,H50,J50,L50,N50,P50,R50,T50,V50,X50,Z50)</f>
        <v/>
      </c>
    </row>
    <row r="51">
      <c r="B51" s="90">
        <f>IF(מיפוי!B53="","",מיפוי!B53)</f>
        <v/>
      </c>
      <c r="C51" s="46">
        <f>IF(מיפוי!D53="","",מיפוי!D53)</f>
        <v/>
      </c>
      <c r="D51" s="73" t="n"/>
      <c r="E51" s="46">
        <f>C51</f>
        <v/>
      </c>
      <c r="F51" s="73" t="n"/>
      <c r="G51" s="46">
        <f>E51</f>
        <v/>
      </c>
      <c r="H51" s="73" t="n"/>
      <c r="I51" s="46">
        <f>G51</f>
        <v/>
      </c>
      <c r="J51" s="73" t="n"/>
      <c r="K51" s="46">
        <f>I51</f>
        <v/>
      </c>
      <c r="L51" s="73" t="n"/>
      <c r="M51" s="46">
        <f>K51</f>
        <v/>
      </c>
      <c r="N51" s="73" t="n"/>
      <c r="O51" s="46">
        <f>M51</f>
        <v/>
      </c>
      <c r="P51" s="73" t="n"/>
      <c r="Q51" s="46">
        <f>O51</f>
        <v/>
      </c>
      <c r="R51" s="73" t="n"/>
      <c r="S51" s="46">
        <f>Q51</f>
        <v/>
      </c>
      <c r="T51" s="73" t="n"/>
      <c r="U51" s="46">
        <f>S51</f>
        <v/>
      </c>
      <c r="V51" s="73" t="n"/>
      <c r="W51" s="46">
        <f>U51</f>
        <v/>
      </c>
      <c r="X51" s="73" t="n"/>
      <c r="Y51" s="46">
        <f>W51</f>
        <v/>
      </c>
      <c r="Z51" s="73" t="n"/>
      <c r="AA51" s="47">
        <f>SUM(C51,E51,G51,I51,K51,M51,O51,Q51,S51,U51,W51,Y51)</f>
        <v/>
      </c>
      <c r="AB51" s="47">
        <f>SUM(D51,F51,H51,J51,L51,N51,P51,R51,T51,V51,X51,Z51)</f>
        <v/>
      </c>
    </row>
    <row r="52">
      <c r="B52" s="90">
        <f>IF(מיפוי!B54="","",מיפוי!B54)</f>
        <v/>
      </c>
      <c r="C52" s="46">
        <f>IF(מיפוי!D54="","",מיפוי!D54)</f>
        <v/>
      </c>
      <c r="D52" s="73" t="n"/>
      <c r="E52" s="46">
        <f>C52</f>
        <v/>
      </c>
      <c r="F52" s="73" t="n"/>
      <c r="G52" s="46">
        <f>E52</f>
        <v/>
      </c>
      <c r="H52" s="73" t="n"/>
      <c r="I52" s="46">
        <f>G52</f>
        <v/>
      </c>
      <c r="J52" s="73" t="n"/>
      <c r="K52" s="46">
        <f>I52</f>
        <v/>
      </c>
      <c r="L52" s="73" t="n"/>
      <c r="M52" s="46">
        <f>K52</f>
        <v/>
      </c>
      <c r="N52" s="73" t="n"/>
      <c r="O52" s="46">
        <f>M52</f>
        <v/>
      </c>
      <c r="P52" s="73" t="n"/>
      <c r="Q52" s="46">
        <f>O52</f>
        <v/>
      </c>
      <c r="R52" s="73" t="n"/>
      <c r="S52" s="46">
        <f>Q52</f>
        <v/>
      </c>
      <c r="T52" s="73" t="n"/>
      <c r="U52" s="46">
        <f>S52</f>
        <v/>
      </c>
      <c r="V52" s="73" t="n"/>
      <c r="W52" s="46">
        <f>U52</f>
        <v/>
      </c>
      <c r="X52" s="73" t="n"/>
      <c r="Y52" s="46">
        <f>W52</f>
        <v/>
      </c>
      <c r="Z52" s="73" t="n"/>
      <c r="AA52" s="47">
        <f>SUM(C52,E52,G52,I52,K52,M52,O52,Q52,S52,U52,W52,Y52)</f>
        <v/>
      </c>
      <c r="AB52" s="47">
        <f>SUM(D52,F52,H52,J52,L52,N52,P52,R52,T52,V52,X52,Z52)</f>
        <v/>
      </c>
    </row>
    <row r="53">
      <c r="B53" s="23" t="inlineStr">
        <is>
          <t>סה"כ משתנות</t>
        </is>
      </c>
      <c r="C53" s="24">
        <f>SUM(C36:C52)</f>
        <v/>
      </c>
      <c r="D53" s="24">
        <f>SUM(D36:D52)</f>
        <v/>
      </c>
      <c r="E53" s="24">
        <f>SUM(E36:E52)</f>
        <v/>
      </c>
      <c r="F53" s="24">
        <f>SUM(F36:F52)</f>
        <v/>
      </c>
      <c r="G53" s="24">
        <f>SUM(G36:G52)</f>
        <v/>
      </c>
      <c r="H53" s="24">
        <f>SUM(H36:H52)</f>
        <v/>
      </c>
      <c r="I53" s="24">
        <f>SUM(I36:I52)</f>
        <v/>
      </c>
      <c r="J53" s="24">
        <f>SUM(J36:J52)</f>
        <v/>
      </c>
      <c r="K53" s="24">
        <f>SUM(K36:K52)</f>
        <v/>
      </c>
      <c r="L53" s="24">
        <f>SUM(L36:L52)</f>
        <v/>
      </c>
      <c r="M53" s="24">
        <f>SUM(M36:M52)</f>
        <v/>
      </c>
      <c r="N53" s="24">
        <f>SUM(N36:N52)</f>
        <v/>
      </c>
      <c r="O53" s="24">
        <f>SUM(O36:O52)</f>
        <v/>
      </c>
      <c r="P53" s="24">
        <f>SUM(P36:P52)</f>
        <v/>
      </c>
      <c r="Q53" s="24">
        <f>SUM(Q36:Q52)</f>
        <v/>
      </c>
      <c r="R53" s="24">
        <f>SUM(R36:R52)</f>
        <v/>
      </c>
      <c r="S53" s="24">
        <f>SUM(S36:S52)</f>
        <v/>
      </c>
      <c r="T53" s="24">
        <f>SUM(T36:T52)</f>
        <v/>
      </c>
      <c r="U53" s="24">
        <f>SUM(U36:U52)</f>
        <v/>
      </c>
      <c r="V53" s="24">
        <f>SUM(V36:V52)</f>
        <v/>
      </c>
      <c r="W53" s="24">
        <f>SUM(W36:W52)</f>
        <v/>
      </c>
      <c r="X53" s="24">
        <f>SUM(X36:X52)</f>
        <v/>
      </c>
      <c r="Y53" s="24">
        <f>SUM(Y36:Y52)</f>
        <v/>
      </c>
      <c r="Z53" s="24">
        <f>SUM(Z36:Z52)</f>
        <v/>
      </c>
      <c r="AA53" s="24">
        <f>SUM(AA36:AA52)</f>
        <v/>
      </c>
      <c r="AB53" s="24">
        <f>SUM(AB36:AB52)</f>
        <v/>
      </c>
    </row>
    <row r="54"/>
    <row r="55">
      <c r="B55" s="23" t="inlineStr">
        <is>
          <t>סה"כ הוצאות</t>
        </is>
      </c>
      <c r="C55" s="24">
        <f>C33+C53</f>
        <v/>
      </c>
      <c r="D55" s="24">
        <f>D33+D53</f>
        <v/>
      </c>
      <c r="E55" s="24">
        <f>E33+E53</f>
        <v/>
      </c>
      <c r="F55" s="24">
        <f>F33+F53</f>
        <v/>
      </c>
      <c r="G55" s="24">
        <f>G33+G53</f>
        <v/>
      </c>
      <c r="H55" s="24">
        <f>H33+H53</f>
        <v/>
      </c>
      <c r="I55" s="24">
        <f>I33+I53</f>
        <v/>
      </c>
      <c r="J55" s="24">
        <f>J33+J53</f>
        <v/>
      </c>
      <c r="K55" s="24">
        <f>K33+K53</f>
        <v/>
      </c>
      <c r="L55" s="24">
        <f>L33+L53</f>
        <v/>
      </c>
      <c r="M55" s="24">
        <f>M33+M53</f>
        <v/>
      </c>
      <c r="N55" s="24">
        <f>N33+N53</f>
        <v/>
      </c>
      <c r="O55" s="24">
        <f>O33+O53</f>
        <v/>
      </c>
      <c r="P55" s="24">
        <f>P33+P53</f>
        <v/>
      </c>
      <c r="Q55" s="24">
        <f>Q33+Q53</f>
        <v/>
      </c>
      <c r="R55" s="24">
        <f>R33+R53</f>
        <v/>
      </c>
      <c r="S55" s="24">
        <f>S33+S53</f>
        <v/>
      </c>
      <c r="T55" s="24">
        <f>T33+T53</f>
        <v/>
      </c>
      <c r="U55" s="24">
        <f>U33+U53</f>
        <v/>
      </c>
      <c r="V55" s="24">
        <f>V33+V53</f>
        <v/>
      </c>
      <c r="W55" s="24">
        <f>W33+W53</f>
        <v/>
      </c>
      <c r="X55" s="24">
        <f>X33+X53</f>
        <v/>
      </c>
      <c r="Y55" s="24">
        <f>Y33+Y53</f>
        <v/>
      </c>
      <c r="Z55" s="24">
        <f>Z33+Z53</f>
        <v/>
      </c>
      <c r="AA55" s="24">
        <f>AA33+AA53</f>
        <v/>
      </c>
      <c r="AB55" s="24">
        <f>AB33+AB53</f>
        <v/>
      </c>
    </row>
    <row r="56">
      <c r="B56" s="23" t="inlineStr">
        <is>
          <t>תזרים נטו</t>
        </is>
      </c>
      <c r="C56" s="26">
        <f>C12-C55</f>
        <v/>
      </c>
      <c r="D56" s="26">
        <f>D12-D55</f>
        <v/>
      </c>
      <c r="E56" s="26">
        <f>E12-E55</f>
        <v/>
      </c>
      <c r="F56" s="26">
        <f>F12-F55</f>
        <v/>
      </c>
      <c r="G56" s="26">
        <f>G12-G55</f>
        <v/>
      </c>
      <c r="H56" s="26">
        <f>H12-H55</f>
        <v/>
      </c>
      <c r="I56" s="26">
        <f>I12-I55</f>
        <v/>
      </c>
      <c r="J56" s="26">
        <f>J12-J55</f>
        <v/>
      </c>
      <c r="K56" s="26">
        <f>K12-K55</f>
        <v/>
      </c>
      <c r="L56" s="26">
        <f>L12-L55</f>
        <v/>
      </c>
      <c r="M56" s="26">
        <f>M12-M55</f>
        <v/>
      </c>
      <c r="N56" s="26">
        <f>N12-N55</f>
        <v/>
      </c>
      <c r="O56" s="26">
        <f>O12-O55</f>
        <v/>
      </c>
      <c r="P56" s="26">
        <f>P12-P55</f>
        <v/>
      </c>
      <c r="Q56" s="26">
        <f>Q12-Q55</f>
        <v/>
      </c>
      <c r="R56" s="26">
        <f>R12-R55</f>
        <v/>
      </c>
      <c r="S56" s="26">
        <f>S12-S55</f>
        <v/>
      </c>
      <c r="T56" s="26">
        <f>T12-T55</f>
        <v/>
      </c>
      <c r="U56" s="26">
        <f>U12-U55</f>
        <v/>
      </c>
      <c r="V56" s="26">
        <f>V12-V55</f>
        <v/>
      </c>
      <c r="W56" s="26">
        <f>W12-W55</f>
        <v/>
      </c>
      <c r="X56" s="26">
        <f>X12-X55</f>
        <v/>
      </c>
      <c r="Y56" s="26">
        <f>Y12-Y55</f>
        <v/>
      </c>
      <c r="Z56" s="26">
        <f>Z12-Z55</f>
        <v/>
      </c>
      <c r="AA56" s="26">
        <f>AA12-AA55</f>
        <v/>
      </c>
      <c r="AB56" s="26">
        <f>AB12-AB55</f>
        <v/>
      </c>
    </row>
    <row r="57">
      <c r="B57" s="23" t="inlineStr">
        <is>
          <t>מצטבר (ביצוע)</t>
        </is>
      </c>
      <c r="D57" s="40">
        <f>D56</f>
        <v/>
      </c>
      <c r="F57" s="40">
        <f>D57+F56</f>
        <v/>
      </c>
      <c r="H57" s="40">
        <f>F57+H56</f>
        <v/>
      </c>
      <c r="J57" s="40">
        <f>H57+J56</f>
        <v/>
      </c>
      <c r="L57" s="40">
        <f>J57+L56</f>
        <v/>
      </c>
      <c r="N57" s="40">
        <f>L57+N56</f>
        <v/>
      </c>
      <c r="P57" s="40">
        <f>N57+P56</f>
        <v/>
      </c>
      <c r="R57" s="40">
        <f>P57+R56</f>
        <v/>
      </c>
      <c r="T57" s="40">
        <f>R57+T56</f>
        <v/>
      </c>
      <c r="V57" s="40">
        <f>T57+V56</f>
        <v/>
      </c>
      <c r="X57" s="40">
        <f>V57+X56</f>
        <v/>
      </c>
      <c r="Z57" s="40">
        <f>X57+Z56</f>
        <v/>
      </c>
    </row>
    <row r="58"/>
    <row r="59">
      <c r="B59" s="88" t="inlineStr">
        <is>
          <t>כרית ביטחון בעו"ש — סף הרמזור:</t>
        </is>
      </c>
      <c r="D59" s="73" t="n">
        <v>1000</v>
      </c>
      <c r="E59" s="67" t="inlineStr">
        <is>
          <t>← נטו מעל הסף = ירוק · מתחת לסף (אבל חיובי) = כתום · מתחת ל-0 = אדום</t>
        </is>
      </c>
    </row>
    <row r="60">
      <c r="B60" s="67" t="inlineStr">
        <is>
          <t>תכנון (לבן) מוצע אוטומטית וממשיך קדימה — אפשר לדרוס מכל חודש. ביצוע (צהוב) — ממלאים בסוף כל חודש.</t>
        </is>
      </c>
    </row>
    <row r="61"/>
    <row r="62">
      <c r="C62" s="114">
        <f>DATE(IF($E$2="",YEAR(TODAY()),VALUE($E$2))+N($H$2)-1,$AB$1+1-1,1)</f>
        <v/>
      </c>
      <c r="E62" s="114">
        <f>DATE(IF($E$2="",YEAR(TODAY()),VALUE($E$2))+N($H$2)-1,$AB$1+2-1,1)</f>
        <v/>
      </c>
      <c r="G62" s="114">
        <f>DATE(IF($E$2="",YEAR(TODAY()),VALUE($E$2))+N($H$2)-1,$AB$1+3-1,1)</f>
        <v/>
      </c>
      <c r="I62" s="114">
        <f>DATE(IF($E$2="",YEAR(TODAY()),VALUE($E$2))+N($H$2)-1,$AB$1+4-1,1)</f>
        <v/>
      </c>
      <c r="K62" s="114">
        <f>DATE(IF($E$2="",YEAR(TODAY()),VALUE($E$2))+N($H$2)-1,$AB$1+5-1,1)</f>
        <v/>
      </c>
      <c r="M62" s="114">
        <f>DATE(IF($E$2="",YEAR(TODAY()),VALUE($E$2))+N($H$2)-1,$AB$1+6-1,1)</f>
        <v/>
      </c>
      <c r="O62" s="114">
        <f>DATE(IF($E$2="",YEAR(TODAY()),VALUE($E$2))+N($H$2)-1,$AB$1+7-1,1)</f>
        <v/>
      </c>
      <c r="Q62" s="114">
        <f>DATE(IF($E$2="",YEAR(TODAY()),VALUE($E$2))+N($H$2)-1,$AB$1+8-1,1)</f>
        <v/>
      </c>
      <c r="S62" s="114">
        <f>DATE(IF($E$2="",YEAR(TODAY()),VALUE($E$2))+N($H$2)-1,$AB$1+9-1,1)</f>
        <v/>
      </c>
      <c r="U62" s="114">
        <f>DATE(IF($E$2="",YEAR(TODAY()),VALUE($E$2))+N($H$2)-1,$AB$1+10-1,1)</f>
        <v/>
      </c>
      <c r="W62" s="114">
        <f>DATE(IF($E$2="",YEAR(TODAY()),VALUE($E$2))+N($H$2)-1,$AB$1+11-1,1)</f>
        <v/>
      </c>
      <c r="Y62" s="114">
        <f>DATE(IF($E$2="",YEAR(TODAY()),VALUE($E$2))+N($H$2)-1,$AB$1+12-1,1)</f>
        <v/>
      </c>
    </row>
    <row r="63"/>
    <row r="64">
      <c r="B64" s="27" t="inlineStr">
        <is>
          <t>חודש</t>
        </is>
      </c>
      <c r="C64" s="27" t="inlineStr">
        <is>
          <t>תכנון</t>
        </is>
      </c>
      <c r="D64" s="27" t="inlineStr">
        <is>
          <t>ביצוע</t>
        </is>
      </c>
    </row>
    <row r="65">
      <c r="B65" s="27">
        <f>CHOOSE(MONTH(C62),"ינו","פבר","מרץ","אפר","מאי","יונ","יול","אוג","ספט","אוק","נוב","דצמ")</f>
        <v/>
      </c>
      <c r="C65" s="27">
        <f>C56</f>
        <v/>
      </c>
      <c r="D65" s="27">
        <f>IF(D12=0,"",D56)</f>
        <v/>
      </c>
    </row>
    <row r="66">
      <c r="B66" s="27">
        <f>CHOOSE(MONTH(E62),"ינו","פבר","מרץ","אפר","מאי","יונ","יול","אוג","ספט","אוק","נוב","דצמ")</f>
        <v/>
      </c>
      <c r="C66" s="27">
        <f>E56</f>
        <v/>
      </c>
      <c r="D66" s="27">
        <f>IF(F12=0,"",F56)</f>
        <v/>
      </c>
    </row>
    <row r="67">
      <c r="B67" s="27">
        <f>CHOOSE(MONTH(G62),"ינו","פבר","מרץ","אפר","מאי","יונ","יול","אוג","ספט","אוק","נוב","דצמ")</f>
        <v/>
      </c>
      <c r="C67" s="27">
        <f>G56</f>
        <v/>
      </c>
      <c r="D67" s="27">
        <f>IF(H12=0,"",H56)</f>
        <v/>
      </c>
    </row>
    <row r="68">
      <c r="B68" s="27">
        <f>CHOOSE(MONTH(I62),"ינו","פבר","מרץ","אפר","מאי","יונ","יול","אוג","ספט","אוק","נוב","דצמ")</f>
        <v/>
      </c>
      <c r="C68" s="27">
        <f>I56</f>
        <v/>
      </c>
      <c r="D68" s="27">
        <f>IF(J12=0,"",J56)</f>
        <v/>
      </c>
    </row>
    <row r="69">
      <c r="B69" s="27">
        <f>CHOOSE(MONTH(K62),"ינו","פבר","מרץ","אפר","מאי","יונ","יול","אוג","ספט","אוק","נוב","דצמ")</f>
        <v/>
      </c>
      <c r="C69" s="27">
        <f>K56</f>
        <v/>
      </c>
      <c r="D69" s="27">
        <f>IF(L12=0,"",L56)</f>
        <v/>
      </c>
    </row>
    <row r="70">
      <c r="B70" s="27">
        <f>CHOOSE(MONTH(M62),"ינו","פבר","מרץ","אפר","מאי","יונ","יול","אוג","ספט","אוק","נוב","דצמ")</f>
        <v/>
      </c>
      <c r="C70" s="27">
        <f>M56</f>
        <v/>
      </c>
      <c r="D70" s="27">
        <f>IF(N12=0,"",N56)</f>
        <v/>
      </c>
    </row>
    <row r="71">
      <c r="B71" s="27">
        <f>CHOOSE(MONTH(O62),"ינו","פבר","מרץ","אפר","מאי","יונ","יול","אוג","ספט","אוק","נוב","דצמ")</f>
        <v/>
      </c>
      <c r="C71" s="27">
        <f>O56</f>
        <v/>
      </c>
      <c r="D71" s="27">
        <f>IF(P12=0,"",P56)</f>
        <v/>
      </c>
    </row>
    <row r="72">
      <c r="B72" s="27">
        <f>CHOOSE(MONTH(Q62),"ינו","פבר","מרץ","אפר","מאי","יונ","יול","אוג","ספט","אוק","נוב","דצמ")</f>
        <v/>
      </c>
      <c r="C72" s="27">
        <f>Q56</f>
        <v/>
      </c>
      <c r="D72" s="27">
        <f>IF(R12=0,"",R56)</f>
        <v/>
      </c>
    </row>
    <row r="73">
      <c r="B73" s="27">
        <f>CHOOSE(MONTH(S62),"ינו","פבר","מרץ","אפר","מאי","יונ","יול","אוג","ספט","אוק","נוב","דצמ")</f>
        <v/>
      </c>
      <c r="C73" s="27">
        <f>S56</f>
        <v/>
      </c>
      <c r="D73" s="27">
        <f>IF(T12=0,"",T56)</f>
        <v/>
      </c>
    </row>
    <row r="74">
      <c r="B74" s="27">
        <f>CHOOSE(MONTH(U62),"ינו","פבר","מרץ","אפר","מאי","יונ","יול","אוג","ספט","אוק","נוב","דצמ")</f>
        <v/>
      </c>
      <c r="C74" s="27">
        <f>U56</f>
        <v/>
      </c>
      <c r="D74" s="27">
        <f>IF(V12=0,"",V56)</f>
        <v/>
      </c>
    </row>
    <row r="75">
      <c r="B75" s="27">
        <f>CHOOSE(MONTH(W62),"ינו","פבר","מרץ","אפר","מאי","יונ","יול","אוג","ספט","אוק","נוב","דצמ")</f>
        <v/>
      </c>
      <c r="C75" s="27">
        <f>W56</f>
        <v/>
      </c>
      <c r="D75" s="27">
        <f>IF(X12=0,"",X56)</f>
        <v/>
      </c>
    </row>
    <row r="76">
      <c r="B76" s="27">
        <f>CHOOSE(MONTH(Y62),"ינו","פבר","מרץ","אפר","מאי","יונ","יול","אוג","ספט","אוק","נוב","דצמ")</f>
        <v/>
      </c>
      <c r="C76" s="27">
        <f>Y56</f>
        <v/>
      </c>
      <c r="D76" s="27">
        <f>IF(Z12=0,"",Z56)</f>
        <v/>
      </c>
    </row>
  </sheetData>
  <mergeCells count="21">
    <mergeCell ref="W4:X4"/>
    <mergeCell ref="Y4:Z4"/>
    <mergeCell ref="B59:C59"/>
    <mergeCell ref="B60:AB60"/>
    <mergeCell ref="B14:AB14"/>
    <mergeCell ref="C4:D4"/>
    <mergeCell ref="E4:F4"/>
    <mergeCell ref="O4:P4"/>
    <mergeCell ref="Q4:R4"/>
    <mergeCell ref="F2:G2"/>
    <mergeCell ref="J2:Z2"/>
    <mergeCell ref="B35:AB35"/>
    <mergeCell ref="G4:H4"/>
    <mergeCell ref="I4:J4"/>
    <mergeCell ref="B1:Z1"/>
    <mergeCell ref="B3:AB3"/>
    <mergeCell ref="E59:N59"/>
    <mergeCell ref="K4:L4"/>
    <mergeCell ref="M4:N4"/>
    <mergeCell ref="S4:T4"/>
    <mergeCell ref="U4:V4"/>
  </mergeCells>
  <conditionalFormatting sqref="C56:Z56">
    <cfRule type="expression" priority="1" dxfId="1">
      <formula>AND(C56&lt;&gt;"",C56&lt;0)</formula>
    </cfRule>
    <cfRule type="expression" priority="2" dxfId="5">
      <formula>AND(C56&lt;&gt;"",C56&gt;=0,C56&lt;$D$59)</formula>
    </cfRule>
    <cfRule type="expression" priority="3" dxfId="0">
      <formula>AND(C56&lt;&gt;"",C56&gt;=$D$59)</formula>
    </cfRule>
  </conditionalFormatting>
  <dataValidations count="2">
    <dataValidation sqref="C2" showDropDown="0" showInputMessage="0" showErrorMessage="0" allowBlank="1" type="list">
      <formula1>"ינואר,פברואר,מרץ,אפריל,מאי,יוני,יולי,אוגוסט,ספטמבר,אוקטובר,נובמבר,דצמבר"</formula1>
    </dataValidation>
    <dataValidation sqref="E2" showDropDown="0" showInputMessage="0" showErrorMessage="0" allowBlank="1" type="list">
      <formula1>"2024,2025,2026,2027,2028,2029,2030,2031,2032,2033,2034,2035"</formula1>
    </dataValidation>
  </dataValidations>
  <hyperlinks>
    <hyperlink ref="AC1" location="'בית'!A1" display="🏠 בית"/>
  </hyperlink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7E6BA6"/>
    <outlinePr summaryBelow="1" summaryRight="1"/>
    <pageSetUpPr/>
  </sheetPr>
  <dimension ref="A1:O24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26" customWidth="1" style="65" min="2" max="2"/>
    <col width="9" customWidth="1" style="65" min="3" max="14"/>
    <col width="11" customWidth="1" style="65" min="15" max="15"/>
  </cols>
  <sheetData>
    <row r="1" ht="28" customHeight="1" s="65">
      <c r="B1" s="70" t="inlineStr">
        <is>
          <t>העסק — שכבה נפרדת לחלוטין</t>
        </is>
      </c>
      <c r="I1" s="15" t="inlineStr">
        <is>
          <t>🏠 בית</t>
        </is>
      </c>
    </row>
    <row r="2">
      <c r="B2" s="64" t="inlineStr">
        <is>
          <t>העסק מתנהל כאן במלואו. רק שורת "משכורת הבעלים" חוצה את הגבול אל תזרים המשפחה.</t>
        </is>
      </c>
    </row>
    <row r="3"/>
    <row r="4">
      <c r="B4" s="74" t="n"/>
      <c r="C4" s="48">
        <f>CHOOSE(MONTH(תזרים!C62),"ינו","פבר","מרץ","אפר","מאי","יונ","יול","אוג","ספט","אוק","נוב","דצמ")</f>
        <v/>
      </c>
      <c r="D4" s="48">
        <f>CHOOSE(MONTH(תזרים!E62),"ינו","פבר","מרץ","אפר","מאי","יונ","יול","אוג","ספט","אוק","נוב","דצמ")</f>
        <v/>
      </c>
      <c r="E4" s="48">
        <f>CHOOSE(MONTH(תזרים!G62),"ינו","פבר","מרץ","אפר","מאי","יונ","יול","אוג","ספט","אוק","נוב","דצמ")</f>
        <v/>
      </c>
      <c r="F4" s="48">
        <f>CHOOSE(MONTH(תזרים!I62),"ינו","פבר","מרץ","אפר","מאי","יונ","יול","אוג","ספט","אוק","נוב","דצמ")</f>
        <v/>
      </c>
      <c r="G4" s="48">
        <f>CHOOSE(MONTH(תזרים!K62),"ינו","פבר","מרץ","אפר","מאי","יונ","יול","אוג","ספט","אוק","נוב","דצמ")</f>
        <v/>
      </c>
      <c r="H4" s="48">
        <f>CHOOSE(MONTH(תזרים!M62),"ינו","פבר","מרץ","אפר","מאי","יונ","יול","אוג","ספט","אוק","נוב","דצמ")</f>
        <v/>
      </c>
      <c r="I4" s="48">
        <f>CHOOSE(MONTH(תזרים!O62),"ינו","פבר","מרץ","אפר","מאי","יונ","יול","אוג","ספט","אוק","נוב","דצמ")</f>
        <v/>
      </c>
      <c r="J4" s="48">
        <f>CHOOSE(MONTH(תזרים!Q62),"ינו","פבר","מרץ","אפר","מאי","יונ","יול","אוג","ספט","אוק","נוב","דצמ")</f>
        <v/>
      </c>
      <c r="K4" s="48">
        <f>CHOOSE(MONTH(תזרים!S62),"ינו","פבר","מרץ","אפר","מאי","יונ","יול","אוג","ספט","אוק","נוב","דצמ")</f>
        <v/>
      </c>
      <c r="L4" s="48">
        <f>CHOOSE(MONTH(תזרים!U62),"ינו","פבר","מרץ","אפר","מאי","יונ","יול","אוג","ספט","אוק","נוב","דצמ")</f>
        <v/>
      </c>
      <c r="M4" s="48">
        <f>CHOOSE(MONTH(תזרים!W62),"ינו","פבר","מרץ","אפר","מאי","יונ","יול","אוג","ספט","אוק","נוב","דצמ")</f>
        <v/>
      </c>
      <c r="N4" s="48">
        <f>CHOOSE(MONTH(תזרים!Y62),"ינו","פבר","מרץ","אפר","מאי","יונ","יול","אוג","ספט","אוק","נוב","דצמ")</f>
        <v/>
      </c>
      <c r="O4" s="74" t="inlineStr">
        <is>
          <t>סה"כ</t>
        </is>
      </c>
    </row>
    <row r="5">
      <c r="B5" s="90" t="inlineStr">
        <is>
          <t>הכנסות תפעוליות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24">
        <f>SUM(C5:N5)</f>
        <v/>
      </c>
    </row>
    <row r="6">
      <c r="B6" s="90" t="inlineStr">
        <is>
          <t>הוצאות קבועות של העסק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24">
        <f>SUM(C6:N6)</f>
        <v/>
      </c>
    </row>
    <row r="7">
      <c r="B7" s="90" t="inlineStr">
        <is>
          <t>הוצאות משתנות של העסק</t>
        </is>
      </c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24">
        <f>SUM(C7:N7)</f>
        <v/>
      </c>
    </row>
    <row r="8">
      <c r="B8" s="90" t="inlineStr">
        <is>
          <t>הפרשה למסים ומע"מ</t>
        </is>
      </c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24">
        <f>SUM(C8:N8)</f>
        <v/>
      </c>
    </row>
    <row r="9">
      <c r="B9" s="23" t="inlineStr">
        <is>
          <t>◄ רווח תפעולי</t>
        </is>
      </c>
      <c r="C9" s="24">
        <f>C5-C6-C7-C8</f>
        <v/>
      </c>
      <c r="D9" s="24">
        <f>D5-D6-D7-D8</f>
        <v/>
      </c>
      <c r="E9" s="24">
        <f>E5-E6-E7-E8</f>
        <v/>
      </c>
      <c r="F9" s="24">
        <f>F5-F6-F7-F8</f>
        <v/>
      </c>
      <c r="G9" s="24">
        <f>G5-G6-G7-G8</f>
        <v/>
      </c>
      <c r="H9" s="24">
        <f>H5-H6-H7-H8</f>
        <v/>
      </c>
      <c r="I9" s="24">
        <f>I5-I6-I7-I8</f>
        <v/>
      </c>
      <c r="J9" s="24">
        <f>J5-J6-J7-J8</f>
        <v/>
      </c>
      <c r="K9" s="24">
        <f>K5-K6-K7-K8</f>
        <v/>
      </c>
      <c r="L9" s="24">
        <f>L5-L6-L7-L8</f>
        <v/>
      </c>
      <c r="M9" s="24">
        <f>M5-M6-M7-M8</f>
        <v/>
      </c>
      <c r="N9" s="24">
        <f>N5-N6-N7-N8</f>
        <v/>
      </c>
      <c r="O9" s="24">
        <f>SUM(C9:N9)</f>
        <v/>
      </c>
    </row>
    <row r="10">
      <c r="B10" s="90" t="inlineStr">
        <is>
          <t>משכורת בעלים — משיכה לבית</t>
        </is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24">
        <f>SUM(C10:N10)</f>
        <v/>
      </c>
    </row>
    <row r="11">
      <c r="B11" s="23" t="inlineStr">
        <is>
          <t>◄ נשאר בעסק (אחרי משכורת)</t>
        </is>
      </c>
      <c r="C11" s="26">
        <f>C9-C10</f>
        <v/>
      </c>
      <c r="D11" s="26">
        <f>D9-D10</f>
        <v/>
      </c>
      <c r="E11" s="26">
        <f>E9-E10</f>
        <v/>
      </c>
      <c r="F11" s="26">
        <f>F9-F10</f>
        <v/>
      </c>
      <c r="G11" s="26">
        <f>G9-G10</f>
        <v/>
      </c>
      <c r="H11" s="26">
        <f>H9-H10</f>
        <v/>
      </c>
      <c r="I11" s="26">
        <f>I9-I10</f>
        <v/>
      </c>
      <c r="J11" s="26">
        <f>J9-J10</f>
        <v/>
      </c>
      <c r="K11" s="26">
        <f>K9-K10</f>
        <v/>
      </c>
      <c r="L11" s="26">
        <f>L9-L10</f>
        <v/>
      </c>
      <c r="M11" s="26">
        <f>M9-M10</f>
        <v/>
      </c>
      <c r="N11" s="26">
        <f>N9-N10</f>
        <v/>
      </c>
      <c r="O11" s="24">
        <f>SUM(C11:N11)</f>
        <v/>
      </c>
    </row>
    <row r="12">
      <c r="B12" s="23" t="inlineStr">
        <is>
          <t>מצטבר בעסק</t>
        </is>
      </c>
      <c r="C12" s="24">
        <f>C11</f>
        <v/>
      </c>
      <c r="D12" s="24">
        <f>C12+D11</f>
        <v/>
      </c>
      <c r="E12" s="24">
        <f>D12+E11</f>
        <v/>
      </c>
      <c r="F12" s="24">
        <f>E12+F11</f>
        <v/>
      </c>
      <c r="G12" s="24">
        <f>F12+G11</f>
        <v/>
      </c>
      <c r="H12" s="24">
        <f>G12+H11</f>
        <v/>
      </c>
      <c r="I12" s="24">
        <f>H12+I11</f>
        <v/>
      </c>
      <c r="J12" s="24">
        <f>I12+J11</f>
        <v/>
      </c>
      <c r="K12" s="24">
        <f>J12+K11</f>
        <v/>
      </c>
      <c r="L12" s="24">
        <f>K12+L11</f>
        <v/>
      </c>
      <c r="M12" s="24">
        <f>L12+M11</f>
        <v/>
      </c>
      <c r="N12" s="24">
        <f>M12+N11</f>
        <v/>
      </c>
    </row>
    <row r="13">
      <c r="B13" s="67" t="inlineStr">
        <is>
          <t>ההפרדה: הוצאה עסקית לא נוגעת בתזרים הבית. שורה 10 — המשכורת — היא הצינור היחיד: נרשמת כאן כהוצאת עסק, ומופיעה אוטומטית כהכנסה בתזרים המשפחה.</t>
        </is>
      </c>
    </row>
    <row r="14"/>
    <row r="15" ht="20" customHeight="1" s="65">
      <c r="B15" s="76" t="inlineStr">
        <is>
          <t>תכנית ההפרדה — הבית והעסק לא מתערבבים</t>
        </is>
      </c>
    </row>
    <row r="16">
      <c r="B16" s="90" t="inlineStr">
        <is>
          <t>שכר קבוע לבית, בכל חודש</t>
        </is>
      </c>
      <c r="C16" s="73" t="n"/>
    </row>
    <row r="17">
      <c r="B17" s="90" t="inlineStr">
        <is>
          <t>יעד כרית עסקית (חודשי הוצאה)</t>
        </is>
      </c>
      <c r="C17" s="19" t="n">
        <v>3</v>
      </c>
    </row>
    <row r="18">
      <c r="B18" s="90" t="inlineStr">
        <is>
          <t>הוצאה חודשית ממוצעת בעסק</t>
        </is>
      </c>
      <c r="C18" s="21">
        <f>IFERROR((O6+O7+O8)/MAX(1,COUNT(C5:N5)),0)</f>
        <v/>
      </c>
    </row>
    <row r="19">
      <c r="B19" s="90" t="inlineStr">
        <is>
          <t>יעד כרית ₪</t>
        </is>
      </c>
      <c r="C19" s="21">
        <f>C17*C18</f>
        <v/>
      </c>
    </row>
    <row r="20">
      <c r="B20" s="90" t="inlineStr">
        <is>
          <t>כרית בפועל (נשאר בעסק, מצטבר)</t>
        </is>
      </c>
      <c r="C20" s="24">
        <f>O9-O10</f>
        <v/>
      </c>
    </row>
    <row r="21"/>
    <row r="22">
      <c r="B22" s="80">
        <f>IF(N(C16)=0,"קבעו שכר חודשי קבוע לבית — זו ההפרדה החשובה ביותר. העסק משלם משכורת, לא כספומט.",IF(SUMPRODUCT((C10:N10&gt;C16+50)*1)&gt;0,"🔴 ב-"&amp;SUMPRODUCT((C10:N10&gt;C16+50)*1)&amp;" חודשים נמשך מעבר לשכר הקבוע — הבית והעסק מתערבבים",IF(C20&lt;C19,"🟡 השכר קבוע ✔ · הכרית העסקית עוד לא ביעד — חסר "&amp;TEXT(C19-C20,"#,##0")&amp;" ₪","🟢 הפרדה מלאה: שכר קבוע + כרית עסקית ביעד")))</f>
        <v/>
      </c>
    </row>
    <row r="23"/>
    <row r="24">
      <c r="B24" s="67" t="inlineStr">
        <is>
          <t>כללי ההפרדה: חשבון בנק נפרד · כרטיס נפרד · המשכורת עוברת בתאריך קבוע · הפרשה למס כל חודש (לא בהפתעה במקדמות) · אף הוצאה עסקית לא יוצאת מחשבון הבית.</t>
        </is>
      </c>
    </row>
  </sheetData>
  <mergeCells count="6">
    <mergeCell ref="B13:O13"/>
    <mergeCell ref="B1:H1"/>
    <mergeCell ref="B24:O24"/>
    <mergeCell ref="B15:O15"/>
    <mergeCell ref="B2:H2"/>
    <mergeCell ref="B22:O22"/>
  </mergeCells>
  <conditionalFormatting sqref="C9:N9">
    <cfRule type="expression" priority="2" dxfId="1">
      <formula>AND(C9&lt;&gt;"",C9&lt;0)</formula>
    </cfRule>
  </conditionalFormatting>
  <conditionalFormatting sqref="C11:N11">
    <cfRule type="expression" priority="1" dxfId="1">
      <formula>AND(C11&lt;&gt;"",C11&lt;0)</formula>
    </cfRule>
  </conditionalFormatting>
  <hyperlinks>
    <hyperlink ref="I1" location="'בית'!A1" display="🏠 בית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B8935A"/>
    <outlinePr summaryBelow="1" summaryRight="1"/>
    <pageSetUpPr/>
  </sheetPr>
  <dimension ref="A1:M69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13" customWidth="1" style="65" min="2" max="2"/>
    <col width="12" customWidth="1" style="65" min="3" max="5"/>
    <col width="10" customWidth="1" style="65" min="6" max="9"/>
  </cols>
  <sheetData>
    <row r="1" ht="28" customHeight="1" s="65">
      <c r="B1" s="70" t="inlineStr">
        <is>
          <t>סיכום שנתי</t>
        </is>
      </c>
      <c r="I1" s="15" t="inlineStr">
        <is>
          <t>🏠 בית</t>
        </is>
      </c>
    </row>
    <row r="2">
      <c r="B2" s="64" t="inlineStr">
        <is>
          <t>מתעדכן לבד מהתזרים. זה הדף שמסתכלים עליו ביחד.</t>
        </is>
      </c>
    </row>
    <row r="3"/>
    <row r="4" ht="20" customHeight="1" s="65">
      <c r="B4" s="69" t="inlineStr">
        <is>
          <t>הכנסה שנתית</t>
        </is>
      </c>
      <c r="D4" s="94" t="inlineStr">
        <is>
          <t>הוצאה שנתית</t>
        </is>
      </c>
      <c r="F4" s="71" t="inlineStr">
        <is>
          <t>תזרים נטו</t>
        </is>
      </c>
      <c r="H4" s="92" t="inlineStr">
        <is>
          <t>שיעור חיסכון</t>
        </is>
      </c>
    </row>
    <row r="5" ht="26" customHeight="1" s="65">
      <c r="B5" s="66">
        <f>IF(תזרים!AB12=0,תזרים!AA12,תזרים!AB12)</f>
        <v/>
      </c>
      <c r="D5" s="66">
        <f>IF(תזרים!AB55=0,תזרים!AA55,תזרים!AB55)</f>
        <v/>
      </c>
      <c r="F5" s="66">
        <f>IF(תזרים!AB12=0,תזרים!AA56,תזרים!AB56)</f>
        <v/>
      </c>
      <c r="H5" s="95">
        <f>IFERROR(IF(תזרים!AB12=0,תזרים!AA56/תזרים!AA12,תזרים!AB56/תזרים!AB12),"")</f>
        <v/>
      </c>
    </row>
    <row r="6"/>
    <row r="7" ht="20" customHeight="1" s="65">
      <c r="B7" s="76" t="inlineStr">
        <is>
          <t>רמזור בריאות תזרימית</t>
        </is>
      </c>
    </row>
    <row r="8">
      <c r="B8" s="74" t="inlineStr">
        <is>
          <t>מדד</t>
        </is>
      </c>
      <c r="E8" s="74" t="inlineStr">
        <is>
          <t>הערך שלכם</t>
        </is>
      </c>
      <c r="G8" s="74" t="inlineStr">
        <is>
          <t>יעד</t>
        </is>
      </c>
      <c r="H8" s="74" t="inlineStr">
        <is>
          <t>סטטוס</t>
        </is>
      </c>
    </row>
    <row r="9">
      <c r="B9" s="90" t="inlineStr">
        <is>
          <t>שיעור חיסכון</t>
        </is>
      </c>
      <c r="C9" s="62" t="n"/>
      <c r="D9" s="63" t="n"/>
      <c r="E9" s="93">
        <f>IFERROR(IF(תזרים!AB12=0,תזרים!AA56/תזרים!AA12,תזרים!AB56/תזרים!AB12),0)</f>
        <v/>
      </c>
      <c r="F9" s="63" t="n"/>
      <c r="G9" s="33" t="inlineStr">
        <is>
          <t>≥ 10%</t>
        </is>
      </c>
      <c r="H9" s="83">
        <f>IF(E9&gt;=0.1,"🟢 תקין",IF(E9&gt;=0.03,"🟡 גבולי","🔴 דורש טיפול"))</f>
        <v/>
      </c>
      <c r="I9" s="63" t="n"/>
    </row>
    <row r="10">
      <c r="B10" s="90" t="inlineStr">
        <is>
          <t>נטל הלוואות מההכנסה</t>
        </is>
      </c>
      <c r="C10" s="62" t="n"/>
      <c r="D10" s="63" t="n"/>
      <c r="E10" s="93">
        <f>IFERROR((חובות!E16+חובות!E34)/(IF(תזרים!AB12=0,תזרים!AA12,תזרים!AB12)/12),0)</f>
        <v/>
      </c>
      <c r="F10" s="63" t="n"/>
      <c r="G10" s="33" t="inlineStr">
        <is>
          <t>≤ 35%</t>
        </is>
      </c>
      <c r="H10" s="83">
        <f>IF(E10&lt;=0.35,"🟢 תקין",IF(E10&lt;=0.45,"🟡 גבולי","🔴 דורש טיפול"))</f>
        <v/>
      </c>
      <c r="I10" s="63" t="n"/>
    </row>
    <row r="11">
      <c r="B11" s="90" t="inlineStr">
        <is>
          <t>קבועות מההכנסה</t>
        </is>
      </c>
      <c r="C11" s="62" t="n"/>
      <c r="D11" s="63" t="n"/>
      <c r="E11" s="93">
        <f>IFERROR(IF(תזרים!AB12=0,תזרים!AA33/תזרים!AA12,תזרים!AB33/תזרים!AB12),0)</f>
        <v/>
      </c>
      <c r="F11" s="63" t="n"/>
      <c r="G11" s="33" t="inlineStr">
        <is>
          <t>≤ 55%</t>
        </is>
      </c>
      <c r="H11" s="83">
        <f>IF(E11&lt;=0.55,"🟢 תקין",IF(E11&lt;=0.65,"🟡 גבולי","🔴 דורש טיפול"))</f>
        <v/>
      </c>
      <c r="I11" s="63" t="n"/>
    </row>
    <row r="12"/>
    <row r="13" ht="20" customHeight="1" s="65">
      <c r="B13" s="76" t="inlineStr">
        <is>
          <t>לאן הולך הכסף — שנתי, תכנון מול ביצוע</t>
        </is>
      </c>
    </row>
    <row r="14">
      <c r="B14" s="74" t="inlineStr">
        <is>
          <t>קטגוריה</t>
        </is>
      </c>
      <c r="E14" s="74" t="inlineStr">
        <is>
          <t>תכנון</t>
        </is>
      </c>
      <c r="F14" s="74" t="inlineStr">
        <is>
          <t>ביצוע</t>
        </is>
      </c>
      <c r="G14" s="74" t="inlineStr">
        <is>
          <t>פער</t>
        </is>
      </c>
      <c r="H14" s="74" t="inlineStr">
        <is>
          <t>% מהכנסה</t>
        </is>
      </c>
    </row>
    <row r="15">
      <c r="B15" s="90">
        <f>IF(תזרים!B15="","",תזרים!B15)</f>
        <v/>
      </c>
      <c r="C15" s="62" t="n"/>
      <c r="D15" s="63" t="n"/>
      <c r="E15" s="21">
        <f>IF(תזרים!B15="","",תזרים!AA15)</f>
        <v/>
      </c>
      <c r="F15" s="21">
        <f>IF(תזרים!B15="","",תזרים!AB15)</f>
        <v/>
      </c>
      <c r="G15" s="21">
        <f>IF(OR(תזרים!B15="",F15=0),"",F15-E15)</f>
        <v/>
      </c>
      <c r="H15" s="117">
        <f>IF(תזרים!B15="","",IFERROR(IF(F15=0,E15,F15)/IF(תזרים!AB12=0,תזרים!AA12,תזרים!AB12),""))</f>
        <v/>
      </c>
    </row>
    <row r="16">
      <c r="B16" s="90">
        <f>IF(תזרים!B16="","",תזרים!B16)</f>
        <v/>
      </c>
      <c r="C16" s="62" t="n"/>
      <c r="D16" s="63" t="n"/>
      <c r="E16" s="21">
        <f>IF(תזרים!B16="","",תזרים!AA16)</f>
        <v/>
      </c>
      <c r="F16" s="21">
        <f>IF(תזרים!B16="","",תזרים!AB16)</f>
        <v/>
      </c>
      <c r="G16" s="21">
        <f>IF(OR(תזרים!B16="",F16=0),"",F16-E16)</f>
        <v/>
      </c>
      <c r="H16" s="117">
        <f>IF(תזרים!B16="","",IFERROR(IF(F16=0,E16,F16)/IF(תזרים!AB12=0,תזרים!AA12,תזרים!AB12),""))</f>
        <v/>
      </c>
    </row>
    <row r="17">
      <c r="B17" s="90">
        <f>IF(תזרים!B17="","",תזרים!B17)</f>
        <v/>
      </c>
      <c r="C17" s="62" t="n"/>
      <c r="D17" s="63" t="n"/>
      <c r="E17" s="21">
        <f>IF(תזרים!B17="","",תזרים!AA17)</f>
        <v/>
      </c>
      <c r="F17" s="21">
        <f>IF(תזרים!B17="","",תזרים!AB17)</f>
        <v/>
      </c>
      <c r="G17" s="21">
        <f>IF(OR(תזרים!B17="",F17=0),"",F17-E17)</f>
        <v/>
      </c>
      <c r="H17" s="117">
        <f>IF(תזרים!B17="","",IFERROR(IF(F17=0,E17,F17)/IF(תזרים!AB12=0,תזרים!AA12,תזרים!AB12),""))</f>
        <v/>
      </c>
    </row>
    <row r="18">
      <c r="B18" s="90">
        <f>IF(תזרים!B18="","",תזרים!B18)</f>
        <v/>
      </c>
      <c r="C18" s="62" t="n"/>
      <c r="D18" s="63" t="n"/>
      <c r="E18" s="21">
        <f>IF(תזרים!B18="","",תזרים!AA18)</f>
        <v/>
      </c>
      <c r="F18" s="21">
        <f>IF(תזרים!B18="","",תזרים!AB18)</f>
        <v/>
      </c>
      <c r="G18" s="21">
        <f>IF(OR(תזרים!B18="",F18=0),"",F18-E18)</f>
        <v/>
      </c>
      <c r="H18" s="117">
        <f>IF(תזרים!B18="","",IFERROR(IF(F18=0,E18,F18)/IF(תזרים!AB12=0,תזרים!AA12,תזרים!AB12),""))</f>
        <v/>
      </c>
    </row>
    <row r="19">
      <c r="B19" s="90">
        <f>IF(תזרים!B19="","",תזרים!B19)</f>
        <v/>
      </c>
      <c r="C19" s="62" t="n"/>
      <c r="D19" s="63" t="n"/>
      <c r="E19" s="21">
        <f>IF(תזרים!B19="","",תזרים!AA19)</f>
        <v/>
      </c>
      <c r="F19" s="21">
        <f>IF(תזרים!B19="","",תזרים!AB19)</f>
        <v/>
      </c>
      <c r="G19" s="21">
        <f>IF(OR(תזרים!B19="",F19=0),"",F19-E19)</f>
        <v/>
      </c>
      <c r="H19" s="117">
        <f>IF(תזרים!B19="","",IFERROR(IF(F19=0,E19,F19)/IF(תזרים!AB12=0,תזרים!AA12,תזרים!AB12),""))</f>
        <v/>
      </c>
    </row>
    <row r="20">
      <c r="B20" s="90">
        <f>IF(תזרים!B20="","",תזרים!B20)</f>
        <v/>
      </c>
      <c r="C20" s="62" t="n"/>
      <c r="D20" s="63" t="n"/>
      <c r="E20" s="21">
        <f>IF(תזרים!B20="","",תזרים!AA20)</f>
        <v/>
      </c>
      <c r="F20" s="21">
        <f>IF(תזרים!B20="","",תזרים!AB20)</f>
        <v/>
      </c>
      <c r="G20" s="21">
        <f>IF(OR(תזרים!B20="",F20=0),"",F20-E20)</f>
        <v/>
      </c>
      <c r="H20" s="117">
        <f>IF(תזרים!B20="","",IFERROR(IF(F20=0,E20,F20)/IF(תזרים!AB12=0,תזרים!AA12,תזרים!AB12),""))</f>
        <v/>
      </c>
    </row>
    <row r="21">
      <c r="B21" s="90">
        <f>IF(תזרים!B21="","",תזרים!B21)</f>
        <v/>
      </c>
      <c r="C21" s="62" t="n"/>
      <c r="D21" s="63" t="n"/>
      <c r="E21" s="21">
        <f>IF(תזרים!B21="","",תזרים!AA21)</f>
        <v/>
      </c>
      <c r="F21" s="21">
        <f>IF(תזרים!B21="","",תזרים!AB21)</f>
        <v/>
      </c>
      <c r="G21" s="21">
        <f>IF(OR(תזרים!B21="",F21=0),"",F21-E21)</f>
        <v/>
      </c>
      <c r="H21" s="117">
        <f>IF(תזרים!B21="","",IFERROR(IF(F21=0,E21,F21)/IF(תזרים!AB12=0,תזרים!AA12,תזרים!AB12),""))</f>
        <v/>
      </c>
    </row>
    <row r="22">
      <c r="B22" s="90">
        <f>IF(תזרים!B22="","",תזרים!B22)</f>
        <v/>
      </c>
      <c r="C22" s="62" t="n"/>
      <c r="D22" s="63" t="n"/>
      <c r="E22" s="21">
        <f>IF(תזרים!B22="","",תזרים!AA22)</f>
        <v/>
      </c>
      <c r="F22" s="21">
        <f>IF(תזרים!B22="","",תזרים!AB22)</f>
        <v/>
      </c>
      <c r="G22" s="21">
        <f>IF(OR(תזרים!B22="",F22=0),"",F22-E22)</f>
        <v/>
      </c>
      <c r="H22" s="117">
        <f>IF(תזרים!B22="","",IFERROR(IF(F22=0,E22,F22)/IF(תזרים!AB12=0,תזרים!AA12,תזרים!AB12),""))</f>
        <v/>
      </c>
    </row>
    <row r="23">
      <c r="B23" s="90">
        <f>IF(תזרים!B23="","",תזרים!B23)</f>
        <v/>
      </c>
      <c r="C23" s="62" t="n"/>
      <c r="D23" s="63" t="n"/>
      <c r="E23" s="21">
        <f>IF(תזרים!B23="","",תזרים!AA23)</f>
        <v/>
      </c>
      <c r="F23" s="21">
        <f>IF(תזרים!B23="","",תזרים!AB23)</f>
        <v/>
      </c>
      <c r="G23" s="21">
        <f>IF(OR(תזרים!B23="",F23=0),"",F23-E23)</f>
        <v/>
      </c>
      <c r="H23" s="117">
        <f>IF(תזרים!B23="","",IFERROR(IF(F23=0,E23,F23)/IF(תזרים!AB12=0,תזרים!AA12,תזרים!AB12),""))</f>
        <v/>
      </c>
    </row>
    <row r="24">
      <c r="B24" s="90">
        <f>IF(תזרים!B24="","",תזרים!B24)</f>
        <v/>
      </c>
      <c r="C24" s="62" t="n"/>
      <c r="D24" s="63" t="n"/>
      <c r="E24" s="21">
        <f>IF(תזרים!B24="","",תזרים!AA24)</f>
        <v/>
      </c>
      <c r="F24" s="21">
        <f>IF(תזרים!B24="","",תזרים!AB24)</f>
        <v/>
      </c>
      <c r="G24" s="21">
        <f>IF(OR(תזרים!B24="",F24=0),"",F24-E24)</f>
        <v/>
      </c>
      <c r="H24" s="117">
        <f>IF(תזרים!B24="","",IFERROR(IF(F24=0,E24,F24)/IF(תזרים!AB12=0,תזרים!AA12,תזרים!AB12),""))</f>
        <v/>
      </c>
    </row>
    <row r="25">
      <c r="B25" s="90">
        <f>IF(תזרים!B25="","",תזרים!B25)</f>
        <v/>
      </c>
      <c r="C25" s="62" t="n"/>
      <c r="D25" s="63" t="n"/>
      <c r="E25" s="21">
        <f>IF(תזרים!B25="","",תזרים!AA25)</f>
        <v/>
      </c>
      <c r="F25" s="21">
        <f>IF(תזרים!B25="","",תזרים!AB25)</f>
        <v/>
      </c>
      <c r="G25" s="21">
        <f>IF(OR(תזרים!B25="",F25=0),"",F25-E25)</f>
        <v/>
      </c>
      <c r="H25" s="117">
        <f>IF(תזרים!B25="","",IFERROR(IF(F25=0,E25,F25)/IF(תזרים!AB12=0,תזרים!AA12,תזרים!AB12),""))</f>
        <v/>
      </c>
    </row>
    <row r="26">
      <c r="B26" s="90">
        <f>IF(תזרים!B26="","",תזרים!B26)</f>
        <v/>
      </c>
      <c r="C26" s="62" t="n"/>
      <c r="D26" s="63" t="n"/>
      <c r="E26" s="21">
        <f>IF(תזרים!B26="","",תזרים!AA26)</f>
        <v/>
      </c>
      <c r="F26" s="21">
        <f>IF(תזרים!B26="","",תזרים!AB26)</f>
        <v/>
      </c>
      <c r="G26" s="21">
        <f>IF(OR(תזרים!B26="",F26=0),"",F26-E26)</f>
        <v/>
      </c>
      <c r="H26" s="117">
        <f>IF(תזרים!B26="","",IFERROR(IF(F26=0,E26,F26)/IF(תזרים!AB12=0,תזרים!AA12,תזרים!AB12),""))</f>
        <v/>
      </c>
    </row>
    <row r="27">
      <c r="B27" s="90">
        <f>IF(תזרים!B27="","",תזרים!B27)</f>
        <v/>
      </c>
      <c r="C27" s="62" t="n"/>
      <c r="D27" s="63" t="n"/>
      <c r="E27" s="21">
        <f>IF(תזרים!B27="","",תזרים!AA27)</f>
        <v/>
      </c>
      <c r="F27" s="21">
        <f>IF(תזרים!B27="","",תזרים!AB27)</f>
        <v/>
      </c>
      <c r="G27" s="21">
        <f>IF(OR(תזרים!B27="",F27=0),"",F27-E27)</f>
        <v/>
      </c>
      <c r="H27" s="117">
        <f>IF(תזרים!B27="","",IFERROR(IF(F27=0,E27,F27)/IF(תזרים!AB12=0,תזרים!AA12,תזרים!AB12),""))</f>
        <v/>
      </c>
    </row>
    <row r="28">
      <c r="B28" s="90">
        <f>IF(תזרים!B28="","",תזרים!B28)</f>
        <v/>
      </c>
      <c r="C28" s="62" t="n"/>
      <c r="D28" s="63" t="n"/>
      <c r="E28" s="21">
        <f>IF(תזרים!B28="","",תזרים!AA28)</f>
        <v/>
      </c>
      <c r="F28" s="21">
        <f>IF(תזרים!B28="","",תזרים!AB28)</f>
        <v/>
      </c>
      <c r="G28" s="21">
        <f>IF(OR(תזרים!B28="",F28=0),"",F28-E28)</f>
        <v/>
      </c>
      <c r="H28" s="117">
        <f>IF(תזרים!B28="","",IFERROR(IF(F28=0,E28,F28)/IF(תזרים!AB12=0,תזרים!AA12,תזרים!AB12),""))</f>
        <v/>
      </c>
    </row>
    <row r="29">
      <c r="B29" s="90">
        <f>IF(תזרים!B29="","",תזרים!B29)</f>
        <v/>
      </c>
      <c r="C29" s="62" t="n"/>
      <c r="D29" s="63" t="n"/>
      <c r="E29" s="21">
        <f>IF(תזרים!B29="","",תזרים!AA29)</f>
        <v/>
      </c>
      <c r="F29" s="21">
        <f>IF(תזרים!B29="","",תזרים!AB29)</f>
        <v/>
      </c>
      <c r="G29" s="21">
        <f>IF(OR(תזרים!B29="",F29=0),"",F29-E29)</f>
        <v/>
      </c>
      <c r="H29" s="117">
        <f>IF(תזרים!B29="","",IFERROR(IF(F29=0,E29,F29)/IF(תזרים!AB12=0,תזרים!AA12,תזרים!AB12),""))</f>
        <v/>
      </c>
    </row>
    <row r="30">
      <c r="B30" s="90">
        <f>IF(תזרים!B30="","",תזרים!B30)</f>
        <v/>
      </c>
      <c r="C30" s="62" t="n"/>
      <c r="D30" s="63" t="n"/>
      <c r="E30" s="21">
        <f>IF(תזרים!B30="","",תזרים!AA30)</f>
        <v/>
      </c>
      <c r="F30" s="21">
        <f>IF(תזרים!B30="","",תזרים!AB30)</f>
        <v/>
      </c>
      <c r="G30" s="21">
        <f>IF(OR(תזרים!B30="",F30=0),"",F30-E30)</f>
        <v/>
      </c>
      <c r="H30" s="117">
        <f>IF(תזרים!B30="","",IFERROR(IF(F30=0,E30,F30)/IF(תזרים!AB12=0,תזרים!AA12,תזרים!AB12),""))</f>
        <v/>
      </c>
    </row>
    <row r="31">
      <c r="B31" s="90">
        <f>IF(תזרים!B31="","",תזרים!B31)</f>
        <v/>
      </c>
      <c r="C31" s="62" t="n"/>
      <c r="D31" s="63" t="n"/>
      <c r="E31" s="21">
        <f>IF(תזרים!B31="","",תזרים!AA31)</f>
        <v/>
      </c>
      <c r="F31" s="21">
        <f>IF(תזרים!B31="","",תזרים!AB31)</f>
        <v/>
      </c>
      <c r="G31" s="21">
        <f>IF(OR(תזרים!B31="",F31=0),"",F31-E31)</f>
        <v/>
      </c>
      <c r="H31" s="117">
        <f>IF(תזרים!B31="","",IFERROR(IF(F31=0,E31,F31)/IF(תזרים!AB12=0,תזרים!AA12,תזרים!AB12),""))</f>
        <v/>
      </c>
    </row>
    <row r="32">
      <c r="B32" s="90">
        <f>IF(תזרים!B32="","",תזרים!B32)</f>
        <v/>
      </c>
      <c r="C32" s="62" t="n"/>
      <c r="D32" s="63" t="n"/>
      <c r="E32" s="21">
        <f>IF(תזרים!B32="","",תזרים!AA32)</f>
        <v/>
      </c>
      <c r="F32" s="21">
        <f>IF(תזרים!B32="","",תזרים!AB32)</f>
        <v/>
      </c>
      <c r="G32" s="21">
        <f>IF(OR(תזרים!B32="",F32=0),"",F32-E32)</f>
        <v/>
      </c>
      <c r="H32" s="117">
        <f>IF(תזרים!B32="","",IFERROR(IF(F32=0,E32,F32)/IF(תזרים!AB12=0,תזרים!AA12,תזרים!AB12),""))</f>
        <v/>
      </c>
    </row>
    <row r="33">
      <c r="B33" s="90">
        <f>IF(תזרים!B36="","",תזרים!B36)</f>
        <v/>
      </c>
      <c r="C33" s="62" t="n"/>
      <c r="D33" s="63" t="n"/>
      <c r="E33" s="21">
        <f>IF(תזרים!B36="","",תזרים!AA36)</f>
        <v/>
      </c>
      <c r="F33" s="21">
        <f>IF(תזרים!B36="","",תזרים!AB36)</f>
        <v/>
      </c>
      <c r="G33" s="21">
        <f>IF(OR(תזרים!B36="",F33=0),"",F33-E33)</f>
        <v/>
      </c>
      <c r="H33" s="117">
        <f>IF(תזרים!B36="","",IFERROR(IF(F33=0,E33,F33)/IF(תזרים!AB12=0,תזרים!AA12,תזרים!AB12),""))</f>
        <v/>
      </c>
    </row>
    <row r="34">
      <c r="B34" s="90">
        <f>IF(תזרים!B37="","",תזרים!B37)</f>
        <v/>
      </c>
      <c r="C34" s="62" t="n"/>
      <c r="D34" s="63" t="n"/>
      <c r="E34" s="21">
        <f>IF(תזרים!B37="","",תזרים!AA37)</f>
        <v/>
      </c>
      <c r="F34" s="21">
        <f>IF(תזרים!B37="","",תזרים!AB37)</f>
        <v/>
      </c>
      <c r="G34" s="21">
        <f>IF(OR(תזרים!B37="",F34=0),"",F34-E34)</f>
        <v/>
      </c>
      <c r="H34" s="117">
        <f>IF(תזרים!B37="","",IFERROR(IF(F34=0,E34,F34)/IF(תזרים!AB12=0,תזרים!AA12,תזרים!AB12),""))</f>
        <v/>
      </c>
    </row>
    <row r="35">
      <c r="B35" s="90">
        <f>IF(תזרים!B38="","",תזרים!B38)</f>
        <v/>
      </c>
      <c r="C35" s="62" t="n"/>
      <c r="D35" s="63" t="n"/>
      <c r="E35" s="21">
        <f>IF(תזרים!B38="","",תזרים!AA38)</f>
        <v/>
      </c>
      <c r="F35" s="21">
        <f>IF(תזרים!B38="","",תזרים!AB38)</f>
        <v/>
      </c>
      <c r="G35" s="21">
        <f>IF(OR(תזרים!B38="",F35=0),"",F35-E35)</f>
        <v/>
      </c>
      <c r="H35" s="117">
        <f>IF(תזרים!B38="","",IFERROR(IF(F35=0,E35,F35)/IF(תזרים!AB12=0,תזרים!AA12,תזרים!AB12),""))</f>
        <v/>
      </c>
    </row>
    <row r="36">
      <c r="B36" s="90">
        <f>IF(תזרים!B39="","",תזרים!B39)</f>
        <v/>
      </c>
      <c r="C36" s="62" t="n"/>
      <c r="D36" s="63" t="n"/>
      <c r="E36" s="21">
        <f>IF(תזרים!B39="","",תזרים!AA39)</f>
        <v/>
      </c>
      <c r="F36" s="21">
        <f>IF(תזרים!B39="","",תזרים!AB39)</f>
        <v/>
      </c>
      <c r="G36" s="21">
        <f>IF(OR(תזרים!B39="",F36=0),"",F36-E36)</f>
        <v/>
      </c>
      <c r="H36" s="117">
        <f>IF(תזרים!B39="","",IFERROR(IF(F36=0,E36,F36)/IF(תזרים!AB12=0,תזרים!AA12,תזרים!AB12),""))</f>
        <v/>
      </c>
    </row>
    <row r="37">
      <c r="B37" s="90">
        <f>IF(תזרים!B40="","",תזרים!B40)</f>
        <v/>
      </c>
      <c r="C37" s="62" t="n"/>
      <c r="D37" s="63" t="n"/>
      <c r="E37" s="21">
        <f>IF(תזרים!B40="","",תזרים!AA40)</f>
        <v/>
      </c>
      <c r="F37" s="21">
        <f>IF(תזרים!B40="","",תזרים!AB40)</f>
        <v/>
      </c>
      <c r="G37" s="21">
        <f>IF(OR(תזרים!B40="",F37=0),"",F37-E37)</f>
        <v/>
      </c>
      <c r="H37" s="117">
        <f>IF(תזרים!B40="","",IFERROR(IF(F37=0,E37,F37)/IF(תזרים!AB12=0,תזרים!AA12,תזרים!AB12),""))</f>
        <v/>
      </c>
    </row>
    <row r="38">
      <c r="B38" s="90">
        <f>IF(תזרים!B41="","",תזרים!B41)</f>
        <v/>
      </c>
      <c r="C38" s="62" t="n"/>
      <c r="D38" s="63" t="n"/>
      <c r="E38" s="21">
        <f>IF(תזרים!B41="","",תזרים!AA41)</f>
        <v/>
      </c>
      <c r="F38" s="21">
        <f>IF(תזרים!B41="","",תזרים!AB41)</f>
        <v/>
      </c>
      <c r="G38" s="21">
        <f>IF(OR(תזרים!B41="",F38=0),"",F38-E38)</f>
        <v/>
      </c>
      <c r="H38" s="117">
        <f>IF(תזרים!B41="","",IFERROR(IF(F38=0,E38,F38)/IF(תזרים!AB12=0,תזרים!AA12,תזרים!AB12),""))</f>
        <v/>
      </c>
    </row>
    <row r="39">
      <c r="B39" s="90">
        <f>IF(תזרים!B42="","",תזרים!B42)</f>
        <v/>
      </c>
      <c r="C39" s="62" t="n"/>
      <c r="D39" s="63" t="n"/>
      <c r="E39" s="21">
        <f>IF(תזרים!B42="","",תזרים!AA42)</f>
        <v/>
      </c>
      <c r="F39" s="21">
        <f>IF(תזרים!B42="","",תזרים!AB42)</f>
        <v/>
      </c>
      <c r="G39" s="21">
        <f>IF(OR(תזרים!B42="",F39=0),"",F39-E39)</f>
        <v/>
      </c>
      <c r="H39" s="117">
        <f>IF(תזרים!B42="","",IFERROR(IF(F39=0,E39,F39)/IF(תזרים!AB12=0,תזרים!AA12,תזרים!AB12),""))</f>
        <v/>
      </c>
    </row>
    <row r="40">
      <c r="B40" s="90">
        <f>IF(תזרים!B43="","",תזרים!B43)</f>
        <v/>
      </c>
      <c r="C40" s="62" t="n"/>
      <c r="D40" s="63" t="n"/>
      <c r="E40" s="21">
        <f>IF(תזרים!B43="","",תזרים!AA43)</f>
        <v/>
      </c>
      <c r="F40" s="21">
        <f>IF(תזרים!B43="","",תזרים!AB43)</f>
        <v/>
      </c>
      <c r="G40" s="21">
        <f>IF(OR(תזרים!B43="",F40=0),"",F40-E40)</f>
        <v/>
      </c>
      <c r="H40" s="117">
        <f>IF(תזרים!B43="","",IFERROR(IF(F40=0,E40,F40)/IF(תזרים!AB12=0,תזרים!AA12,תזרים!AB12),""))</f>
        <v/>
      </c>
    </row>
    <row r="41">
      <c r="B41" s="90">
        <f>IF(תזרים!B44="","",תזרים!B44)</f>
        <v/>
      </c>
      <c r="C41" s="62" t="n"/>
      <c r="D41" s="63" t="n"/>
      <c r="E41" s="21">
        <f>IF(תזרים!B44="","",תזרים!AA44)</f>
        <v/>
      </c>
      <c r="F41" s="21">
        <f>IF(תזרים!B44="","",תזרים!AB44)</f>
        <v/>
      </c>
      <c r="G41" s="21">
        <f>IF(OR(תזרים!B44="",F41=0),"",F41-E41)</f>
        <v/>
      </c>
      <c r="H41" s="117">
        <f>IF(תזרים!B44="","",IFERROR(IF(F41=0,E41,F41)/IF(תזרים!AB12=0,תזרים!AA12,תזרים!AB12),""))</f>
        <v/>
      </c>
    </row>
    <row r="42">
      <c r="B42" s="90">
        <f>IF(תזרים!B45="","",תזרים!B45)</f>
        <v/>
      </c>
      <c r="C42" s="62" t="n"/>
      <c r="D42" s="63" t="n"/>
      <c r="E42" s="21">
        <f>IF(תזרים!B45="","",תזרים!AA45)</f>
        <v/>
      </c>
      <c r="F42" s="21">
        <f>IF(תזרים!B45="","",תזרים!AB45)</f>
        <v/>
      </c>
      <c r="G42" s="21">
        <f>IF(OR(תזרים!B45="",F42=0),"",F42-E42)</f>
        <v/>
      </c>
      <c r="H42" s="117">
        <f>IF(תזרים!B45="","",IFERROR(IF(F42=0,E42,F42)/IF(תזרים!AB12=0,תזרים!AA12,תזרים!AB12),""))</f>
        <v/>
      </c>
    </row>
    <row r="43">
      <c r="B43" s="90">
        <f>IF(תזרים!B46="","",תזרים!B46)</f>
        <v/>
      </c>
      <c r="C43" s="62" t="n"/>
      <c r="D43" s="63" t="n"/>
      <c r="E43" s="21">
        <f>IF(תזרים!B46="","",תזרים!AA46)</f>
        <v/>
      </c>
      <c r="F43" s="21">
        <f>IF(תזרים!B46="","",תזרים!AB46)</f>
        <v/>
      </c>
      <c r="G43" s="21">
        <f>IF(OR(תזרים!B46="",F43=0),"",F43-E43)</f>
        <v/>
      </c>
      <c r="H43" s="117">
        <f>IF(תזרים!B46="","",IFERROR(IF(F43=0,E43,F43)/IF(תזרים!AB12=0,תזרים!AA12,תזרים!AB12),""))</f>
        <v/>
      </c>
    </row>
    <row r="44">
      <c r="B44" s="90">
        <f>IF(תזרים!B47="","",תזרים!B47)</f>
        <v/>
      </c>
      <c r="C44" s="62" t="n"/>
      <c r="D44" s="63" t="n"/>
      <c r="E44" s="21">
        <f>IF(תזרים!B47="","",תזרים!AA47)</f>
        <v/>
      </c>
      <c r="F44" s="21">
        <f>IF(תזרים!B47="","",תזרים!AB47)</f>
        <v/>
      </c>
      <c r="G44" s="21">
        <f>IF(OR(תזרים!B47="",F44=0),"",F44-E44)</f>
        <v/>
      </c>
      <c r="H44" s="117">
        <f>IF(תזרים!B47="","",IFERROR(IF(F44=0,E44,F44)/IF(תזרים!AB12=0,תזרים!AA12,תזרים!AB12),""))</f>
        <v/>
      </c>
    </row>
    <row r="45">
      <c r="B45" s="90">
        <f>IF(תזרים!B48="","",תזרים!B48)</f>
        <v/>
      </c>
      <c r="C45" s="62" t="n"/>
      <c r="D45" s="63" t="n"/>
      <c r="E45" s="21">
        <f>IF(תזרים!B48="","",תזרים!AA48)</f>
        <v/>
      </c>
      <c r="F45" s="21">
        <f>IF(תזרים!B48="","",תזרים!AB48)</f>
        <v/>
      </c>
      <c r="G45" s="21">
        <f>IF(OR(תזרים!B48="",F45=0),"",F45-E45)</f>
        <v/>
      </c>
      <c r="H45" s="117">
        <f>IF(תזרים!B48="","",IFERROR(IF(F45=0,E45,F45)/IF(תזרים!AB12=0,תזרים!AA12,תזרים!AB12),""))</f>
        <v/>
      </c>
    </row>
    <row r="46">
      <c r="B46" s="90">
        <f>IF(תזרים!B49="","",תזרים!B49)</f>
        <v/>
      </c>
      <c r="C46" s="62" t="n"/>
      <c r="D46" s="63" t="n"/>
      <c r="E46" s="21">
        <f>IF(תזרים!B49="","",תזרים!AA49)</f>
        <v/>
      </c>
      <c r="F46" s="21">
        <f>IF(תזרים!B49="","",תזרים!AB49)</f>
        <v/>
      </c>
      <c r="G46" s="21">
        <f>IF(OR(תזרים!B49="",F46=0),"",F46-E46)</f>
        <v/>
      </c>
      <c r="H46" s="117">
        <f>IF(תזרים!B49="","",IFERROR(IF(F46=0,E46,F46)/IF(תזרים!AB12=0,תזרים!AA12,תזרים!AB12),""))</f>
        <v/>
      </c>
    </row>
    <row r="47">
      <c r="B47" s="90">
        <f>IF(תזרים!B50="","",תזרים!B50)</f>
        <v/>
      </c>
      <c r="C47" s="62" t="n"/>
      <c r="D47" s="63" t="n"/>
      <c r="E47" s="21">
        <f>IF(תזרים!B50="","",תזרים!AA50)</f>
        <v/>
      </c>
      <c r="F47" s="21">
        <f>IF(תזרים!B50="","",תזרים!AB50)</f>
        <v/>
      </c>
      <c r="G47" s="21">
        <f>IF(OR(תזרים!B50="",F47=0),"",F47-E47)</f>
        <v/>
      </c>
      <c r="H47" s="117">
        <f>IF(תזרים!B50="","",IFERROR(IF(F47=0,E47,F47)/IF(תזרים!AB12=0,תזרים!AA12,תזרים!AB12),""))</f>
        <v/>
      </c>
    </row>
    <row r="48">
      <c r="B48" s="90">
        <f>IF(תזרים!B51="","",תזרים!B51)</f>
        <v/>
      </c>
      <c r="C48" s="62" t="n"/>
      <c r="D48" s="63" t="n"/>
      <c r="E48" s="21">
        <f>IF(תזרים!B51="","",תזרים!AA51)</f>
        <v/>
      </c>
      <c r="F48" s="21">
        <f>IF(תזרים!B51="","",תזרים!AB51)</f>
        <v/>
      </c>
      <c r="G48" s="21">
        <f>IF(OR(תזרים!B51="",F48=0),"",F48-E48)</f>
        <v/>
      </c>
      <c r="H48" s="117">
        <f>IF(תזרים!B51="","",IFERROR(IF(F48=0,E48,F48)/IF(תזרים!AB12=0,תזרים!AA12,תזרים!AB12),""))</f>
        <v/>
      </c>
    </row>
    <row r="49">
      <c r="B49" s="90">
        <f>IF(תזרים!B52="","",תזרים!B52)</f>
        <v/>
      </c>
      <c r="C49" s="62" t="n"/>
      <c r="D49" s="63" t="n"/>
      <c r="E49" s="21">
        <f>IF(תזרים!B52="","",תזרים!AA52)</f>
        <v/>
      </c>
      <c r="F49" s="21">
        <f>IF(תזרים!B52="","",תזרים!AB52)</f>
        <v/>
      </c>
      <c r="G49" s="21">
        <f>IF(OR(תזרים!B52="",F49=0),"",F49-E49)</f>
        <v/>
      </c>
      <c r="H49" s="117">
        <f>IF(תזרים!B52="","",IFERROR(IF(F49=0,E49,F49)/IF(תזרים!AB12=0,תזרים!AA12,תזרים!AB12),""))</f>
        <v/>
      </c>
    </row>
    <row r="50"/>
    <row r="51" ht="20" customHeight="1" s="65">
      <c r="B51" s="75" t="inlineStr">
        <is>
          <t>ארכיון שנים — הקובץ מלווה אתכם שנה אחרי שנה</t>
        </is>
      </c>
    </row>
    <row r="52">
      <c r="B52" s="74" t="inlineStr">
        <is>
          <t>שנה</t>
        </is>
      </c>
      <c r="C52" s="74" t="inlineStr">
        <is>
          <t>הכנסות</t>
        </is>
      </c>
      <c r="D52" s="74" t="inlineStr">
        <is>
          <t>הוצאות</t>
        </is>
      </c>
      <c r="E52" s="74" t="inlineStr">
        <is>
          <t>נטו</t>
        </is>
      </c>
      <c r="F52" s="74" t="inlineStr">
        <is>
          <t>% חיסכון</t>
        </is>
      </c>
      <c r="G52" s="74" t="inlineStr">
        <is>
          <t>מה קרה השנה?</t>
        </is>
      </c>
      <c r="H52" s="62" t="n"/>
      <c r="I52" s="63" t="n"/>
    </row>
    <row r="53">
      <c r="B53" s="49">
        <f>YEAR(תזרים!C62)&amp;" (חיה)"</f>
        <v/>
      </c>
      <c r="C53" s="37">
        <f>IF(תזרים!AB12=0,תזרים!AA12,תזרים!AB12)</f>
        <v/>
      </c>
      <c r="D53" s="37">
        <f>IF(תזרים!AB12=0,תזרים!AA55,תזרים!AB55)</f>
        <v/>
      </c>
      <c r="E53" s="37">
        <f>C53-D53</f>
        <v/>
      </c>
      <c r="F53" s="50">
        <f>IFERROR(E53/C53,"")</f>
        <v/>
      </c>
      <c r="G53" s="91" t="inlineStr">
        <is>
          <t>← השנה הנוכחית, מתעדכנת לבד</t>
        </is>
      </c>
      <c r="H53" s="62" t="n"/>
      <c r="I53" s="63" t="n"/>
    </row>
    <row r="54">
      <c r="B54" s="19" t="n"/>
      <c r="C54" s="73" t="n"/>
      <c r="D54" s="73" t="n"/>
      <c r="E54" s="73" t="n"/>
      <c r="F54" s="38" t="n"/>
      <c r="G54" s="72" t="n"/>
      <c r="H54" s="62" t="n"/>
      <c r="I54" s="63" t="n"/>
    </row>
    <row r="55">
      <c r="B55" s="19" t="n"/>
      <c r="C55" s="73" t="n"/>
      <c r="D55" s="73" t="n"/>
      <c r="E55" s="73" t="n"/>
      <c r="F55" s="38" t="n"/>
      <c r="G55" s="72" t="n"/>
      <c r="H55" s="62" t="n"/>
      <c r="I55" s="63" t="n"/>
    </row>
    <row r="56">
      <c r="B56" s="19" t="n"/>
      <c r="C56" s="73" t="n"/>
      <c r="D56" s="73" t="n"/>
      <c r="E56" s="73" t="n"/>
      <c r="F56" s="38" t="n"/>
      <c r="G56" s="72" t="n"/>
      <c r="H56" s="62" t="n"/>
      <c r="I56" s="63" t="n"/>
    </row>
    <row r="57">
      <c r="B57" s="19" t="n"/>
      <c r="C57" s="73" t="n"/>
      <c r="D57" s="73" t="n"/>
      <c r="E57" s="73" t="n"/>
      <c r="F57" s="38" t="n"/>
      <c r="G57" s="72" t="n"/>
      <c r="H57" s="62" t="n"/>
      <c r="I57" s="63" t="n"/>
      <c r="K57" s="27" t="inlineStr">
        <is>
          <t>חודש</t>
        </is>
      </c>
      <c r="L57" s="27" t="inlineStr">
        <is>
          <t>תכנון</t>
        </is>
      </c>
      <c r="M57" s="27" t="inlineStr">
        <is>
          <t>ביצוע</t>
        </is>
      </c>
    </row>
    <row r="58">
      <c r="B58" s="19" t="n"/>
      <c r="C58" s="73" t="n"/>
      <c r="D58" s="73" t="n"/>
      <c r="E58" s="73" t="n"/>
      <c r="F58" s="38" t="n"/>
      <c r="G58" s="72" t="n"/>
      <c r="H58" s="62" t="n"/>
      <c r="I58" s="63" t="n"/>
      <c r="K58" s="27">
        <f>CHOOSE(MONTH(תזרים!C62),"ינו","פבר","מרץ","אפר","מאי","יונ","יול","אוג","ספט","אוק","נוב","דצמ")</f>
        <v/>
      </c>
      <c r="L58" s="27">
        <f>תזרים!C56</f>
        <v/>
      </c>
      <c r="M58" s="27">
        <f>IF(תזרים!D12=0,"",תזרים!D56)</f>
        <v/>
      </c>
    </row>
    <row r="59">
      <c r="B59" s="19" t="n"/>
      <c r="C59" s="73" t="n"/>
      <c r="D59" s="73" t="n"/>
      <c r="E59" s="73" t="n"/>
      <c r="F59" s="38" t="n"/>
      <c r="G59" s="72" t="n"/>
      <c r="H59" s="62" t="n"/>
      <c r="I59" s="63" t="n"/>
      <c r="K59" s="27">
        <f>CHOOSE(MONTH(תזרים!E62),"ינו","פבר","מרץ","אפר","מאי","יונ","יול","אוג","ספט","אוק","נוב","דצמ")</f>
        <v/>
      </c>
      <c r="L59" s="27">
        <f>תזרים!E56</f>
        <v/>
      </c>
      <c r="M59" s="27">
        <f>IF(תזרים!F12=0,"",תזרים!F56)</f>
        <v/>
      </c>
    </row>
    <row r="60">
      <c r="K60" s="27">
        <f>CHOOSE(MONTH(תזרים!G62),"ינו","פבר","מרץ","אפר","מאי","יונ","יול","אוג","ספט","אוק","נוב","דצמ")</f>
        <v/>
      </c>
      <c r="L60" s="27">
        <f>תזרים!G56</f>
        <v/>
      </c>
      <c r="M60" s="27">
        <f>IF(תזרים!H12=0,"",תזרים!H56)</f>
        <v/>
      </c>
    </row>
    <row r="61">
      <c r="B61" s="67" t="inlineStr">
        <is>
          <t>מעבר שנה: ① מעתיקים את השורה הכחולה לשורה צהובה ② מוחקים את עמודות הביצוע בתזרים ③ מעלים את "שנת פעילות" בדף הבית ב-1 — וממשיכים באותו קובץ.</t>
        </is>
      </c>
      <c r="K61" s="27">
        <f>CHOOSE(MONTH(תזרים!I62),"ינו","פבר","מרץ","אפר","מאי","יונ","יול","אוג","ספט","אוק","נוב","דצמ")</f>
        <v/>
      </c>
      <c r="L61" s="27">
        <f>תזרים!I56</f>
        <v/>
      </c>
      <c r="M61" s="27">
        <f>IF(תזרים!J12=0,"",תזרים!J56)</f>
        <v/>
      </c>
    </row>
    <row r="62">
      <c r="K62" s="27">
        <f>CHOOSE(MONTH(תזרים!K62),"ינו","פבר","מרץ","אפר","מאי","יונ","יול","אוג","ספט","אוק","נוב","דצמ")</f>
        <v/>
      </c>
      <c r="L62" s="27">
        <f>תזרים!K56</f>
        <v/>
      </c>
      <c r="M62" s="27">
        <f>IF(תזרים!L12=0,"",תזרים!L56)</f>
        <v/>
      </c>
    </row>
    <row r="63">
      <c r="K63" s="27">
        <f>CHOOSE(MONTH(תזרים!M62),"ינו","פבר","מרץ","אפר","מאי","יונ","יול","אוג","ספט","אוק","נוב","דצמ")</f>
        <v/>
      </c>
      <c r="L63" s="27">
        <f>תזרים!M56</f>
        <v/>
      </c>
      <c r="M63" s="27">
        <f>IF(תזרים!N12=0,"",תזרים!N56)</f>
        <v/>
      </c>
    </row>
    <row r="64">
      <c r="K64" s="27">
        <f>CHOOSE(MONTH(תזרים!O62),"ינו","פבר","מרץ","אפר","מאי","יונ","יול","אוג","ספט","אוק","נוב","דצמ")</f>
        <v/>
      </c>
      <c r="L64" s="27">
        <f>תזרים!O56</f>
        <v/>
      </c>
      <c r="M64" s="27">
        <f>IF(תזרים!P12=0,"",תזרים!P56)</f>
        <v/>
      </c>
    </row>
    <row r="65">
      <c r="K65" s="27">
        <f>CHOOSE(MONTH(תזרים!Q62),"ינו","פבר","מרץ","אפר","מאי","יונ","יול","אוג","ספט","אוק","נוב","דצמ")</f>
        <v/>
      </c>
      <c r="L65" s="27">
        <f>תזרים!Q56</f>
        <v/>
      </c>
      <c r="M65" s="27">
        <f>IF(תזרים!R12=0,"",תזרים!R56)</f>
        <v/>
      </c>
    </row>
    <row r="66">
      <c r="K66" s="27">
        <f>CHOOSE(MONTH(תזרים!S62),"ינו","פבר","מרץ","אפר","מאי","יונ","יול","אוג","ספט","אוק","נוב","דצמ")</f>
        <v/>
      </c>
      <c r="L66" s="27">
        <f>תזרים!S56</f>
        <v/>
      </c>
      <c r="M66" s="27">
        <f>IF(תזרים!T12=0,"",תזרים!T56)</f>
        <v/>
      </c>
    </row>
    <row r="67">
      <c r="K67" s="27">
        <f>CHOOSE(MONTH(תזרים!U62),"ינו","פבר","מרץ","אפר","מאי","יונ","יול","אוג","ספט","אוק","נוב","דצמ")</f>
        <v/>
      </c>
      <c r="L67" s="27">
        <f>תזרים!U56</f>
        <v/>
      </c>
      <c r="M67" s="27">
        <f>IF(תזרים!V12=0,"",תזרים!V56)</f>
        <v/>
      </c>
    </row>
    <row r="68">
      <c r="K68" s="27">
        <f>CHOOSE(MONTH(תזרים!W62),"ינו","פבר","מרץ","אפר","מאי","יונ","יול","אוג","ספט","אוק","נוב","דצמ")</f>
        <v/>
      </c>
      <c r="L68" s="27">
        <f>תזרים!W56</f>
        <v/>
      </c>
      <c r="M68" s="27">
        <f>IF(תזרים!X12=0,"",תזרים!X56)</f>
        <v/>
      </c>
    </row>
    <row r="69">
      <c r="K69" s="27">
        <f>CHOOSE(MONTH(תזרים!Y62),"ינו","פבר","מרץ","אפר","מאי","יונ","יול","אוג","ספט","אוק","נוב","דצמ")</f>
        <v/>
      </c>
      <c r="L69" s="27">
        <f>תזרים!Y56</f>
        <v/>
      </c>
      <c r="M69" s="27">
        <f>IF(תזרים!Z12=0,"",תזרים!Z56)</f>
        <v/>
      </c>
    </row>
  </sheetData>
  <mergeCells count="66">
    <mergeCell ref="F4:G4"/>
    <mergeCell ref="B11:D11"/>
    <mergeCell ref="B42:D42"/>
    <mergeCell ref="B7:I7"/>
    <mergeCell ref="G57:I57"/>
    <mergeCell ref="B23:D23"/>
    <mergeCell ref="H10:I10"/>
    <mergeCell ref="G53:I53"/>
    <mergeCell ref="B17:D17"/>
    <mergeCell ref="B44:D44"/>
    <mergeCell ref="H4:I4"/>
    <mergeCell ref="B29:D29"/>
    <mergeCell ref="H9:I9"/>
    <mergeCell ref="B38:D38"/>
    <mergeCell ref="B34:D34"/>
    <mergeCell ref="B10:D10"/>
    <mergeCell ref="B28:D28"/>
    <mergeCell ref="G58:I58"/>
    <mergeCell ref="B19:D19"/>
    <mergeCell ref="B37:D37"/>
    <mergeCell ref="E10:F10"/>
    <mergeCell ref="F5:G5"/>
    <mergeCell ref="B49:D49"/>
    <mergeCell ref="B40:D40"/>
    <mergeCell ref="B9:D9"/>
    <mergeCell ref="G55:I55"/>
    <mergeCell ref="B30:D30"/>
    <mergeCell ref="B61:I61"/>
    <mergeCell ref="B15:D15"/>
    <mergeCell ref="E9:F9"/>
    <mergeCell ref="B24:D24"/>
    <mergeCell ref="B20:D20"/>
    <mergeCell ref="B33:D33"/>
    <mergeCell ref="B13:I13"/>
    <mergeCell ref="H11:I11"/>
    <mergeCell ref="G54:I54"/>
    <mergeCell ref="B36:D36"/>
    <mergeCell ref="B45:D45"/>
    <mergeCell ref="B41:D41"/>
    <mergeCell ref="B32:D32"/>
    <mergeCell ref="E11:F11"/>
    <mergeCell ref="B35:D35"/>
    <mergeCell ref="B26:D26"/>
    <mergeCell ref="B2:H2"/>
    <mergeCell ref="D4:E4"/>
    <mergeCell ref="G56:I56"/>
    <mergeCell ref="G52:I52"/>
    <mergeCell ref="B25:D25"/>
    <mergeCell ref="G59:I59"/>
    <mergeCell ref="B47:D47"/>
    <mergeCell ref="B16:D16"/>
    <mergeCell ref="B1:H1"/>
    <mergeCell ref="B46:D46"/>
    <mergeCell ref="B31:D31"/>
    <mergeCell ref="B5:C5"/>
    <mergeCell ref="B22:D22"/>
    <mergeCell ref="B51:I51"/>
    <mergeCell ref="D5:E5"/>
    <mergeCell ref="B18:D18"/>
    <mergeCell ref="B27:D27"/>
    <mergeCell ref="H5:I5"/>
    <mergeCell ref="B21:D21"/>
    <mergeCell ref="B43:D43"/>
    <mergeCell ref="B39:D39"/>
    <mergeCell ref="B4:C4"/>
    <mergeCell ref="B48:D48"/>
  </mergeCells>
  <conditionalFormatting sqref="G15:G49">
    <cfRule type="expression" priority="1" dxfId="1">
      <formula>AND(G15&lt;&gt;"",G15&gt;0)</formula>
    </cfRule>
    <cfRule type="expression" priority="2" dxfId="0">
      <formula>AND(G15&lt;&gt;"",G15&lt;0)</formula>
    </cfRule>
  </conditionalFormatting>
  <hyperlinks>
    <hyperlink ref="I1" location="'בית'!A1" display="🏠 בית"/>
  </hyperlink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B8935A"/>
    <outlinePr summaryBelow="1" summaryRight="1"/>
    <pageSetUpPr/>
  </sheetPr>
  <dimension ref="A1:J23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12" customWidth="1" style="65" min="2" max="4"/>
    <col width="11" customWidth="1" style="65" min="5" max="6"/>
    <col width="12" customWidth="1" style="65" min="7" max="7"/>
    <col width="10" customWidth="1" style="65" min="8" max="10"/>
  </cols>
  <sheetData>
    <row r="1" ht="28" customHeight="1" s="65">
      <c r="B1" s="70">
        <f>IF(שאלון!C6="","תמונת מצב ותוכנית פעולה","תמונת מצב ותוכנית פעולה — "&amp;שאלון!C6&amp;IF(שאלון!D6="",""," ו"&amp;שאלון!D6))</f>
        <v/>
      </c>
      <c r="I1" s="15" t="inlineStr">
        <is>
          <t>🏠 בית</t>
        </is>
      </c>
    </row>
    <row r="2">
      <c r="B2" s="64" t="inlineStr">
        <is>
          <t>העמוד שמסתכלים עליו ביחד. הכל מתעדכן לבד מכל שאר הקובץ.</t>
        </is>
      </c>
    </row>
    <row r="3"/>
    <row r="4" ht="20" customHeight="1" s="65">
      <c r="B4" s="69" t="inlineStr">
        <is>
          <t>שווי נקי</t>
        </is>
      </c>
      <c r="E4" s="71" t="inlineStr">
        <is>
          <t>תזרים חודשי נטו (ממוצע)</t>
        </is>
      </c>
      <c r="H4" s="92" t="inlineStr">
        <is>
          <t>% מהמטרות שממומן</t>
        </is>
      </c>
    </row>
    <row r="5" ht="28" customHeight="1" s="65">
      <c r="B5" s="96">
        <f>מאזן!B28</f>
        <v/>
      </c>
      <c r="E5" s="96">
        <f>IFERROR(IF(תזרים!$AC$2&gt;0,תזרים!AB56/תזרים!$AC$2,תזרים!AA56/12),0)</f>
        <v/>
      </c>
      <c r="H5" s="100">
        <f>IFERROR('מטרות ויעדים'!K17/'מטרות ויעדים'!J17,"")</f>
        <v/>
      </c>
    </row>
    <row r="6"/>
    <row r="7" ht="20" customHeight="1" s="65">
      <c r="B7" s="76" t="inlineStr">
        <is>
          <t>בריאות פיננסית — רמזור</t>
        </is>
      </c>
    </row>
    <row r="8">
      <c r="B8" s="74" t="inlineStr">
        <is>
          <t>מדד</t>
        </is>
      </c>
      <c r="E8" s="74" t="inlineStr">
        <is>
          <t>הערך שלכם</t>
        </is>
      </c>
      <c r="G8" s="74" t="inlineStr">
        <is>
          <t>יעד מומלץ</t>
        </is>
      </c>
      <c r="H8" s="74" t="inlineStr">
        <is>
          <t>סטטוס</t>
        </is>
      </c>
    </row>
    <row r="9">
      <c r="B9" s="90" t="inlineStr">
        <is>
          <t>מינוף — חוב מהנכסים</t>
        </is>
      </c>
      <c r="C9" s="62" t="n"/>
      <c r="D9" s="63" t="n"/>
      <c r="E9" s="93">
        <f>IFERROR(מאזן!C25/מאזן!C17,0)</f>
        <v/>
      </c>
      <c r="F9" s="63" t="n"/>
      <c r="G9" s="33" t="inlineStr">
        <is>
          <t>≤ 50%</t>
        </is>
      </c>
      <c r="H9" s="83">
        <f>IF(E9&lt;=0.5,"🟢 תקין",IF(E9&lt;=0.7,"🟡 לתשומת לב","🔴 דורש טיפול"))</f>
        <v/>
      </c>
      <c r="I9" s="62" t="n"/>
      <c r="J9" s="63" t="n"/>
    </row>
    <row r="10">
      <c r="B10" s="90" t="inlineStr">
        <is>
          <t>נטל החזרים מההכנסה</t>
        </is>
      </c>
      <c r="C10" s="62" t="n"/>
      <c r="D10" s="63" t="n"/>
      <c r="E10" s="93">
        <f>IFERROR((חובות!E16+חובות!E34)/MAX(1,IF(תזרים!$AC$2&gt;0,תזרים!AB12/תזרים!$AC$2,תזרים!AA12/12)),0)</f>
        <v/>
      </c>
      <c r="F10" s="63" t="n"/>
      <c r="G10" s="33" t="inlineStr">
        <is>
          <t>≤ 35%</t>
        </is>
      </c>
      <c r="H10" s="83">
        <f>IF(E10&lt;=0.35,"🟢 תקין",IF(E10&lt;=0.45,"🟡 לתשומת לב","🔴 דורש טיפול"))</f>
        <v/>
      </c>
      <c r="I10" s="62" t="n"/>
      <c r="J10" s="63" t="n"/>
    </row>
    <row r="11">
      <c r="B11" s="90" t="inlineStr">
        <is>
          <t>עלות דיור מההכנסה</t>
        </is>
      </c>
      <c r="C11" s="62" t="n"/>
      <c r="D11" s="63" t="n"/>
      <c r="E11" s="93">
        <f>IFERROR((IF(תזרים!AB15=0,תזרים!AA15,תזרים!AB15)/12)/(IF(תזרים!AB12=0,תזרים!AA12,תזרים!AB12)/12),0)</f>
        <v/>
      </c>
      <c r="F11" s="63" t="n"/>
      <c r="G11" s="33" t="inlineStr">
        <is>
          <t>≤ 30%</t>
        </is>
      </c>
      <c r="H11" s="83">
        <f>IF(E11&lt;=0.3,"🟢 תקין",IF(E11&lt;=0.4,"🟡 לתשומת לב","🔴 דורש טיפול"))</f>
        <v/>
      </c>
      <c r="I11" s="62" t="n"/>
      <c r="J11" s="63" t="n"/>
    </row>
    <row r="12">
      <c r="B12" s="90" t="inlineStr">
        <is>
          <t>שיעור חיסכון</t>
        </is>
      </c>
      <c r="C12" s="62" t="n"/>
      <c r="D12" s="63" t="n"/>
      <c r="E12" s="93">
        <f>IFERROR(IF(תזרים!AB12=0,תזרים!AA56/תזרים!AA12,תזרים!AB56/תזרים!AB12),0)</f>
        <v/>
      </c>
      <c r="F12" s="63" t="n"/>
      <c r="G12" s="33" t="inlineStr">
        <is>
          <t>≥ 15%</t>
        </is>
      </c>
      <c r="H12" s="83">
        <f>IF(E12&gt;=0.15,"🟢 תקין",IF(E12&gt;=0.08,"🟡 לתשומת לב","🔴 דורש טיפול"))</f>
        <v/>
      </c>
      <c r="I12" s="62" t="n"/>
      <c r="J12" s="63" t="n"/>
    </row>
    <row r="13">
      <c r="B13" s="90" t="inlineStr">
        <is>
          <t>כרית חירום (חודשים)</t>
        </is>
      </c>
      <c r="C13" s="62" t="n"/>
      <c r="D13" s="63" t="n"/>
      <c r="E13" s="118">
        <f>IFERROR((N(מאזן!C6)+N(מאזן!C7))/MAX(1,IF(תזרים!$AC$2&gt;0,תזרים!AB55/תזרים!$AC$2,תזרים!AA55/12)),0)</f>
        <v/>
      </c>
      <c r="F13" s="63" t="n"/>
      <c r="G13" s="33" t="inlineStr">
        <is>
          <t>≥ 6</t>
        </is>
      </c>
      <c r="H13" s="83">
        <f>IF(E13&gt;=6,"🟢 תקין",IF(E13&gt;=3,"🟡 לתשומת לב","🔴 דורש טיפול"))</f>
        <v/>
      </c>
      <c r="I13" s="62" t="n"/>
      <c r="J13" s="63" t="n"/>
    </row>
    <row r="14">
      <c r="B14" s="90" t="inlineStr">
        <is>
          <t>מימון המטרות</t>
        </is>
      </c>
      <c r="C14" s="62" t="n"/>
      <c r="D14" s="63" t="n"/>
      <c r="E14" s="93">
        <f>IFERROR('מטרות ויעדים'!K17/'מטרות ויעדים'!J17,0)</f>
        <v/>
      </c>
      <c r="F14" s="63" t="n"/>
      <c r="G14" s="33" t="inlineStr">
        <is>
          <t>ככל שיותר — יותר</t>
        </is>
      </c>
      <c r="H14" s="83">
        <f>IF(E14&gt;=0.5,"🟢 תקין",IF(E14&gt;=0.25,"🟡 לתשומת לב","🔴 דורש טיפול"))</f>
        <v/>
      </c>
      <c r="I14" s="62" t="n"/>
      <c r="J14" s="63" t="n"/>
    </row>
    <row r="15"/>
    <row r="16" ht="20" customHeight="1" s="65">
      <c r="B16" s="75" t="inlineStr">
        <is>
          <t>מה עושים עכשיו — לפי סדר עדיפות</t>
        </is>
      </c>
    </row>
    <row r="17" ht="20" customHeight="1" s="65">
      <c r="B17" s="87" t="n">
        <v>1</v>
      </c>
      <c r="C17" s="99">
        <f>IF((6*MAX(1,IF(תזרים!$AC$2&gt;0,תזרים!AB55/תזרים!$AC$2,תזרים!AA55/12)))-(N(מאזן!C6)+N(מאזן!C7))&gt;0,"קרן חירום — להשלים עוד "&amp;TEXT(6*IF(תזרים!$AC$2&gt;0,תזרים!AB55/תזרים!$AC$2,תזרים!AA55/12)-(N(מאזן!C6)+N(מאזן!C7)),"#,##0")&amp;" ₪ (היעד: 6 חודשי הוצאה)","קרן חירום — ✔ תקינה")</f>
        <v/>
      </c>
      <c r="D17" s="62" t="n"/>
      <c r="E17" s="62" t="n"/>
      <c r="F17" s="62" t="n"/>
      <c r="G17" s="62" t="n"/>
      <c r="H17" s="62" t="n"/>
      <c r="I17" s="62" t="n"/>
      <c r="J17" s="63" t="n"/>
    </row>
    <row r="18" ht="20" customHeight="1" s="65">
      <c r="B18" s="87" t="n">
        <v>2</v>
      </c>
      <c r="C18" s="97">
        <f>IF(חובות!C16=0,"הלוואות — אין ✔",IF(חובות!J10&gt;0,"הלוואות — לבדוק איחוד: חיסכון אפשרי של "&amp;TEXT(חובות!J10,"#,##0")&amp;" ₪ בחודש","הלוואות — קיימות; לבדוק ריביות מול הבנק"))</f>
        <v/>
      </c>
      <c r="D18" s="62" t="n"/>
      <c r="E18" s="62" t="n"/>
      <c r="F18" s="62" t="n"/>
      <c r="G18" s="62" t="n"/>
      <c r="H18" s="62" t="n"/>
      <c r="I18" s="62" t="n"/>
      <c r="J18" s="63" t="n"/>
    </row>
    <row r="19" ht="20" customHeight="1" s="65">
      <c r="B19" s="87" t="n">
        <v>3</v>
      </c>
      <c r="C19" s="99">
        <f>IF('מטרות ויעדים'!M17=0,"מטרות — מלאו את עמוד המטרות (דרך השאלון)",IF('מטרות ויעדים'!N17+50&lt;'מטרות ויעדים'!M17,"מטרות — להשלים הקצאה של "&amp;TEXT('מטרות ויעדים'!M17-'מטרות ויעדים'!N17,"#,##0")&amp;" ₪ בחודש","מטרות — ✔ מוקצות במלואן"))</f>
        <v/>
      </c>
      <c r="D19" s="62" t="n"/>
      <c r="E19" s="62" t="n"/>
      <c r="F19" s="62" t="n"/>
      <c r="G19" s="62" t="n"/>
      <c r="H19" s="62" t="n"/>
      <c r="I19" s="62" t="n"/>
      <c r="J19" s="63" t="n"/>
    </row>
    <row r="20" ht="20" customHeight="1" s="65">
      <c r="B20" s="87" t="n">
        <v>4</v>
      </c>
      <c r="C20" s="97">
        <f>IF(IFERROR(IF(תזרים!AB12=0,תזרים!AA56/תזרים!AA12,תזרים!AB56/תזרים!AB12),0)&lt;0.15,"שיעור חיסכון — כרגע "&amp;TEXT(IFERROR(IF(תזרים!AB12=0,תזרים!AA56/תזרים!AA12,תזרים!AB56/תזרים!AB12),0),"0%")&amp;" — לכוון ל-15-20%","שיעור חיסכון — ✔ בריא")</f>
        <v/>
      </c>
      <c r="D20" s="62" t="n"/>
      <c r="E20" s="62" t="n"/>
      <c r="F20" s="62" t="n"/>
      <c r="G20" s="62" t="n"/>
      <c r="H20" s="62" t="n"/>
      <c r="I20" s="62" t="n"/>
      <c r="J20" s="63" t="n"/>
    </row>
    <row r="21" ht="20" customHeight="1" s="65">
      <c r="B21" s="87" t="n">
        <v>5</v>
      </c>
      <c r="C21" s="99">
        <f>IF(N(מיפוי!L17)&gt;0,"מנויים — לעבור על הרשימה: "&amp;TEXT(מיפוי!L17,"#,##0")&amp;" ₪ בחודש. מה כבר לא בשימוש?","מנויים — טרם הוזנו במיפוי")</f>
        <v/>
      </c>
      <c r="D21" s="62" t="n"/>
      <c r="E21" s="62" t="n"/>
      <c r="F21" s="62" t="n"/>
      <c r="G21" s="62" t="n"/>
      <c r="H21" s="62" t="n"/>
      <c r="I21" s="62" t="n"/>
      <c r="J21" s="63" t="n"/>
    </row>
    <row r="22"/>
    <row r="23">
      <c r="B23" s="67" t="inlineStr">
        <is>
          <t>✔ = תקין. כל שורה עם מספר = הפעולה הבאה והפער המדויק. מתעדכן לבד מהמיפוי, מהתזרים, מהמאזן ומהמטרות.</t>
        </is>
      </c>
    </row>
  </sheetData>
  <mergeCells count="34">
    <mergeCell ref="B11:D11"/>
    <mergeCell ref="E12:F12"/>
    <mergeCell ref="B14:D14"/>
    <mergeCell ref="E5:F5"/>
    <mergeCell ref="B23:J23"/>
    <mergeCell ref="B13:D13"/>
    <mergeCell ref="E14:F14"/>
    <mergeCell ref="H4:I4"/>
    <mergeCell ref="H11:J11"/>
    <mergeCell ref="B10:D10"/>
    <mergeCell ref="E4:F4"/>
    <mergeCell ref="E10:F10"/>
    <mergeCell ref="C20:J20"/>
    <mergeCell ref="H13:J13"/>
    <mergeCell ref="B9:D9"/>
    <mergeCell ref="E13:F13"/>
    <mergeCell ref="H12:J12"/>
    <mergeCell ref="E9:F9"/>
    <mergeCell ref="C21:J21"/>
    <mergeCell ref="H14:J14"/>
    <mergeCell ref="E11:F11"/>
    <mergeCell ref="B2:H2"/>
    <mergeCell ref="B16:J16"/>
    <mergeCell ref="B7:J7"/>
    <mergeCell ref="C17:J17"/>
    <mergeCell ref="H10:J10"/>
    <mergeCell ref="B1:H1"/>
    <mergeCell ref="B5:C5"/>
    <mergeCell ref="H5:I5"/>
    <mergeCell ref="H9:J9"/>
    <mergeCell ref="C19:J19"/>
    <mergeCell ref="B12:D12"/>
    <mergeCell ref="B4:C4"/>
    <mergeCell ref="C18:J18"/>
  </mergeCells>
  <hyperlinks>
    <hyperlink ref="I1" location="'בית'!A1" display="🏠 בית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B8935A"/>
    <outlinePr summaryBelow="1" summaryRight="1"/>
    <pageSetUpPr/>
  </sheetPr>
  <dimension ref="A1:I48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20" customWidth="1" style="65" min="2" max="2"/>
    <col width="16" customWidth="1" style="65" min="3" max="3"/>
    <col width="10" customWidth="1" style="65" min="4" max="4"/>
    <col width="16" customWidth="1" style="65" min="5" max="7"/>
  </cols>
  <sheetData>
    <row r="1" ht="28" customHeight="1" s="65">
      <c r="B1" s="70" t="inlineStr">
        <is>
          <t>יומן ליווי — 5 פגישות</t>
        </is>
      </c>
      <c r="I1" s="15" t="inlineStr">
        <is>
          <t>🏠 בית</t>
        </is>
      </c>
    </row>
    <row r="2">
      <c r="B2" s="64" t="inlineStr">
        <is>
          <t>מה סוכם, מה המשימות, ומה לקחתם מכל פגישה.</t>
        </is>
      </c>
    </row>
    <row r="3">
      <c r="B3" s="90" t="inlineStr">
        <is>
          <t>תאריך תחילת הליווי (מדף הבית):</t>
        </is>
      </c>
      <c r="C3" s="119">
        <f>IF(תזרים!C2="","",תזרים!C62)</f>
        <v/>
      </c>
      <c r="D3" s="90" t="inlineStr">
        <is>
          <t>חודש ליווי נוכחי:</t>
        </is>
      </c>
      <c r="E3" s="13">
        <f>IF(C3="","",(YEAR(TODAY())-YEAR(C3))*12+MONTH(TODAY())-MONTH(C3)+1)</f>
        <v/>
      </c>
    </row>
    <row r="4"/>
    <row r="5" ht="20" customHeight="1" s="65">
      <c r="B5" s="76" t="inlineStr">
        <is>
          <t>פגישה 1</t>
        </is>
      </c>
    </row>
    <row r="6">
      <c r="B6" s="90" t="inlineStr">
        <is>
          <t>תאריך:</t>
        </is>
      </c>
      <c r="C6" s="20" t="n"/>
      <c r="D6" s="90" t="inlineStr">
        <is>
          <t>נושא:</t>
        </is>
      </c>
      <c r="E6" s="72" t="n"/>
      <c r="F6" s="62" t="n"/>
      <c r="G6" s="63" t="n"/>
    </row>
    <row r="7" ht="16" customHeight="1" s="65">
      <c r="B7" s="90" t="inlineStr">
        <is>
          <t>מה סוכם:</t>
        </is>
      </c>
      <c r="C7" s="101" t="n"/>
      <c r="D7" s="102" t="n"/>
      <c r="E7" s="102" t="n"/>
      <c r="F7" s="102" t="n"/>
      <c r="G7" s="103" t="n"/>
    </row>
    <row r="8" ht="16" customHeight="1" s="65">
      <c r="C8" s="104" t="n"/>
      <c r="D8" s="105" t="n"/>
      <c r="E8" s="105" t="n"/>
      <c r="F8" s="105" t="n"/>
      <c r="G8" s="106" t="n"/>
    </row>
    <row r="9" ht="16" customHeight="1" s="65">
      <c r="B9" s="90" t="inlineStr">
        <is>
          <t>משימות עד הפגישה הבאה:</t>
        </is>
      </c>
      <c r="C9" s="101" t="n"/>
      <c r="D9" s="102" t="n"/>
      <c r="E9" s="102" t="n"/>
      <c r="F9" s="102" t="n"/>
      <c r="G9" s="103" t="n"/>
    </row>
    <row r="10" ht="16" customHeight="1" s="65">
      <c r="C10" s="104" t="n"/>
      <c r="D10" s="105" t="n"/>
      <c r="E10" s="105" t="n"/>
      <c r="F10" s="105" t="n"/>
      <c r="G10" s="106" t="n"/>
    </row>
    <row r="11" ht="16" customHeight="1" s="65">
      <c r="B11" s="90" t="inlineStr">
        <is>
          <t>מה לקחנו מהפגישה (הלקוח):</t>
        </is>
      </c>
      <c r="C11" s="101" t="n"/>
      <c r="D11" s="102" t="n"/>
      <c r="E11" s="102" t="n"/>
      <c r="F11" s="102" t="n"/>
      <c r="G11" s="103" t="n"/>
    </row>
    <row r="12" ht="16" customHeight="1" s="65">
      <c r="C12" s="104" t="n"/>
      <c r="D12" s="105" t="n"/>
      <c r="E12" s="105" t="n"/>
      <c r="F12" s="105" t="n"/>
      <c r="G12" s="106" t="n"/>
    </row>
    <row r="13"/>
    <row r="14" ht="20" customHeight="1" s="65">
      <c r="B14" s="76" t="inlineStr">
        <is>
          <t>פגישה 2</t>
        </is>
      </c>
    </row>
    <row r="15">
      <c r="B15" s="90" t="inlineStr">
        <is>
          <t>תאריך:</t>
        </is>
      </c>
      <c r="C15" s="20" t="n"/>
      <c r="D15" s="90" t="inlineStr">
        <is>
          <t>נושא:</t>
        </is>
      </c>
      <c r="E15" s="72" t="n"/>
      <c r="F15" s="62" t="n"/>
      <c r="G15" s="63" t="n"/>
    </row>
    <row r="16" ht="16" customHeight="1" s="65">
      <c r="B16" s="90" t="inlineStr">
        <is>
          <t>מה סוכם:</t>
        </is>
      </c>
      <c r="C16" s="101" t="n"/>
      <c r="D16" s="102" t="n"/>
      <c r="E16" s="102" t="n"/>
      <c r="F16" s="102" t="n"/>
      <c r="G16" s="103" t="n"/>
    </row>
    <row r="17" ht="16" customHeight="1" s="65">
      <c r="C17" s="104" t="n"/>
      <c r="D17" s="105" t="n"/>
      <c r="E17" s="105" t="n"/>
      <c r="F17" s="105" t="n"/>
      <c r="G17" s="106" t="n"/>
    </row>
    <row r="18" ht="16" customHeight="1" s="65">
      <c r="B18" s="90" t="inlineStr">
        <is>
          <t>משימות עד הפגישה הבאה:</t>
        </is>
      </c>
      <c r="C18" s="101" t="n"/>
      <c r="D18" s="102" t="n"/>
      <c r="E18" s="102" t="n"/>
      <c r="F18" s="102" t="n"/>
      <c r="G18" s="103" t="n"/>
    </row>
    <row r="19" ht="16" customHeight="1" s="65">
      <c r="C19" s="104" t="n"/>
      <c r="D19" s="105" t="n"/>
      <c r="E19" s="105" t="n"/>
      <c r="F19" s="105" t="n"/>
      <c r="G19" s="106" t="n"/>
    </row>
    <row r="20" ht="16" customHeight="1" s="65">
      <c r="B20" s="90" t="inlineStr">
        <is>
          <t>מה לקחנו מהפגישה (הלקוח):</t>
        </is>
      </c>
      <c r="C20" s="101" t="n"/>
      <c r="D20" s="102" t="n"/>
      <c r="E20" s="102" t="n"/>
      <c r="F20" s="102" t="n"/>
      <c r="G20" s="103" t="n"/>
    </row>
    <row r="21" ht="16" customHeight="1" s="65">
      <c r="C21" s="104" t="n"/>
      <c r="D21" s="105" t="n"/>
      <c r="E21" s="105" t="n"/>
      <c r="F21" s="105" t="n"/>
      <c r="G21" s="106" t="n"/>
    </row>
    <row r="22"/>
    <row r="23" ht="20" customHeight="1" s="65">
      <c r="B23" s="76" t="inlineStr">
        <is>
          <t>פגישה 3</t>
        </is>
      </c>
    </row>
    <row r="24">
      <c r="B24" s="90" t="inlineStr">
        <is>
          <t>תאריך:</t>
        </is>
      </c>
      <c r="C24" s="20" t="n"/>
      <c r="D24" s="90" t="inlineStr">
        <is>
          <t>נושא:</t>
        </is>
      </c>
      <c r="E24" s="72" t="n"/>
      <c r="F24" s="62" t="n"/>
      <c r="G24" s="63" t="n"/>
    </row>
    <row r="25" ht="16" customHeight="1" s="65">
      <c r="B25" s="90" t="inlineStr">
        <is>
          <t>מה סוכם:</t>
        </is>
      </c>
      <c r="C25" s="101" t="n"/>
      <c r="D25" s="102" t="n"/>
      <c r="E25" s="102" t="n"/>
      <c r="F25" s="102" t="n"/>
      <c r="G25" s="103" t="n"/>
    </row>
    <row r="26" ht="16" customHeight="1" s="65">
      <c r="C26" s="104" t="n"/>
      <c r="D26" s="105" t="n"/>
      <c r="E26" s="105" t="n"/>
      <c r="F26" s="105" t="n"/>
      <c r="G26" s="106" t="n"/>
    </row>
    <row r="27" ht="16" customHeight="1" s="65">
      <c r="B27" s="90" t="inlineStr">
        <is>
          <t>משימות עד הפגישה הבאה:</t>
        </is>
      </c>
      <c r="C27" s="101" t="n"/>
      <c r="D27" s="102" t="n"/>
      <c r="E27" s="102" t="n"/>
      <c r="F27" s="102" t="n"/>
      <c r="G27" s="103" t="n"/>
    </row>
    <row r="28" ht="16" customHeight="1" s="65">
      <c r="C28" s="104" t="n"/>
      <c r="D28" s="105" t="n"/>
      <c r="E28" s="105" t="n"/>
      <c r="F28" s="105" t="n"/>
      <c r="G28" s="106" t="n"/>
    </row>
    <row r="29" ht="16" customHeight="1" s="65">
      <c r="B29" s="90" t="inlineStr">
        <is>
          <t>מה לקחנו מהפגישה (הלקוח):</t>
        </is>
      </c>
      <c r="C29" s="101" t="n"/>
      <c r="D29" s="102" t="n"/>
      <c r="E29" s="102" t="n"/>
      <c r="F29" s="102" t="n"/>
      <c r="G29" s="103" t="n"/>
    </row>
    <row r="30" ht="16" customHeight="1" s="65">
      <c r="C30" s="104" t="n"/>
      <c r="D30" s="105" t="n"/>
      <c r="E30" s="105" t="n"/>
      <c r="F30" s="105" t="n"/>
      <c r="G30" s="106" t="n"/>
    </row>
    <row r="31"/>
    <row r="32" ht="20" customHeight="1" s="65">
      <c r="B32" s="76" t="inlineStr">
        <is>
          <t>פגישה 4</t>
        </is>
      </c>
    </row>
    <row r="33">
      <c r="B33" s="90" t="inlineStr">
        <is>
          <t>תאריך:</t>
        </is>
      </c>
      <c r="C33" s="20" t="n"/>
      <c r="D33" s="90" t="inlineStr">
        <is>
          <t>נושא:</t>
        </is>
      </c>
      <c r="E33" s="72" t="n"/>
      <c r="F33" s="62" t="n"/>
      <c r="G33" s="63" t="n"/>
    </row>
    <row r="34" ht="16" customHeight="1" s="65">
      <c r="B34" s="90" t="inlineStr">
        <is>
          <t>מה סוכם:</t>
        </is>
      </c>
      <c r="C34" s="101" t="n"/>
      <c r="D34" s="102" t="n"/>
      <c r="E34" s="102" t="n"/>
      <c r="F34" s="102" t="n"/>
      <c r="G34" s="103" t="n"/>
    </row>
    <row r="35" ht="16" customHeight="1" s="65">
      <c r="C35" s="104" t="n"/>
      <c r="D35" s="105" t="n"/>
      <c r="E35" s="105" t="n"/>
      <c r="F35" s="105" t="n"/>
      <c r="G35" s="106" t="n"/>
    </row>
    <row r="36" ht="16" customHeight="1" s="65">
      <c r="B36" s="90" t="inlineStr">
        <is>
          <t>משימות עד הפגישה הבאה:</t>
        </is>
      </c>
      <c r="C36" s="101" t="n"/>
      <c r="D36" s="102" t="n"/>
      <c r="E36" s="102" t="n"/>
      <c r="F36" s="102" t="n"/>
      <c r="G36" s="103" t="n"/>
    </row>
    <row r="37" ht="16" customHeight="1" s="65">
      <c r="C37" s="104" t="n"/>
      <c r="D37" s="105" t="n"/>
      <c r="E37" s="105" t="n"/>
      <c r="F37" s="105" t="n"/>
      <c r="G37" s="106" t="n"/>
    </row>
    <row r="38" ht="16" customHeight="1" s="65">
      <c r="B38" s="90" t="inlineStr">
        <is>
          <t>מה לקחנו מהפגישה (הלקוח):</t>
        </is>
      </c>
      <c r="C38" s="101" t="n"/>
      <c r="D38" s="102" t="n"/>
      <c r="E38" s="102" t="n"/>
      <c r="F38" s="102" t="n"/>
      <c r="G38" s="103" t="n"/>
    </row>
    <row r="39" ht="16" customHeight="1" s="65">
      <c r="C39" s="104" t="n"/>
      <c r="D39" s="105" t="n"/>
      <c r="E39" s="105" t="n"/>
      <c r="F39" s="105" t="n"/>
      <c r="G39" s="106" t="n"/>
    </row>
    <row r="40"/>
    <row r="41" ht="20" customHeight="1" s="65">
      <c r="B41" s="107" t="inlineStr">
        <is>
          <t>פגישה 5</t>
        </is>
      </c>
    </row>
    <row r="42">
      <c r="B42" s="90" t="inlineStr">
        <is>
          <t>תאריך:</t>
        </is>
      </c>
      <c r="C42" s="20" t="n"/>
      <c r="D42" s="90" t="inlineStr">
        <is>
          <t>נושא:</t>
        </is>
      </c>
      <c r="E42" s="72" t="n"/>
      <c r="F42" s="62" t="n"/>
      <c r="G42" s="63" t="n"/>
    </row>
    <row r="43" ht="16" customHeight="1" s="65">
      <c r="B43" s="90" t="inlineStr">
        <is>
          <t>מה סוכם:</t>
        </is>
      </c>
      <c r="C43" s="101" t="n"/>
      <c r="D43" s="102" t="n"/>
      <c r="E43" s="102" t="n"/>
      <c r="F43" s="102" t="n"/>
      <c r="G43" s="103" t="n"/>
    </row>
    <row r="44" ht="16" customHeight="1" s="65">
      <c r="C44" s="104" t="n"/>
      <c r="D44" s="105" t="n"/>
      <c r="E44" s="105" t="n"/>
      <c r="F44" s="105" t="n"/>
      <c r="G44" s="106" t="n"/>
    </row>
    <row r="45" ht="16" customHeight="1" s="65">
      <c r="B45" s="90" t="inlineStr">
        <is>
          <t>משימות עד הפגישה הבאה:</t>
        </is>
      </c>
      <c r="C45" s="101" t="n"/>
      <c r="D45" s="102" t="n"/>
      <c r="E45" s="102" t="n"/>
      <c r="F45" s="102" t="n"/>
      <c r="G45" s="103" t="n"/>
    </row>
    <row r="46" ht="16" customHeight="1" s="65">
      <c r="C46" s="104" t="n"/>
      <c r="D46" s="105" t="n"/>
      <c r="E46" s="105" t="n"/>
      <c r="F46" s="105" t="n"/>
      <c r="G46" s="106" t="n"/>
    </row>
    <row r="47" ht="16" customHeight="1" s="65">
      <c r="B47" s="90" t="inlineStr">
        <is>
          <t>מה לקחנו מהפגישה (הלקוח):</t>
        </is>
      </c>
      <c r="C47" s="101" t="n"/>
      <c r="D47" s="102" t="n"/>
      <c r="E47" s="102" t="n"/>
      <c r="F47" s="102" t="n"/>
      <c r="G47" s="103" t="n"/>
    </row>
    <row r="48" ht="16" customHeight="1" s="65">
      <c r="C48" s="104" t="n"/>
      <c r="D48" s="105" t="n"/>
      <c r="E48" s="105" t="n"/>
      <c r="F48" s="105" t="n"/>
      <c r="G48" s="106" t="n"/>
    </row>
  </sheetData>
  <mergeCells count="27">
    <mergeCell ref="B2:G2"/>
    <mergeCell ref="C25:G26"/>
    <mergeCell ref="B14:G14"/>
    <mergeCell ref="B23:G23"/>
    <mergeCell ref="B1:G1"/>
    <mergeCell ref="C36:G37"/>
    <mergeCell ref="C11:G12"/>
    <mergeCell ref="C43:G44"/>
    <mergeCell ref="E15:G15"/>
    <mergeCell ref="E6:G6"/>
    <mergeCell ref="C27:G28"/>
    <mergeCell ref="C7:G8"/>
    <mergeCell ref="C38:G39"/>
    <mergeCell ref="B5:G5"/>
    <mergeCell ref="C34:G35"/>
    <mergeCell ref="C9:G10"/>
    <mergeCell ref="B41:G41"/>
    <mergeCell ref="C18:G19"/>
    <mergeCell ref="B32:G32"/>
    <mergeCell ref="E24:G24"/>
    <mergeCell ref="E42:G42"/>
    <mergeCell ref="C29:G30"/>
    <mergeCell ref="E33:G33"/>
    <mergeCell ref="C20:G21"/>
    <mergeCell ref="C45:G46"/>
    <mergeCell ref="C16:G17"/>
    <mergeCell ref="C47:G48"/>
  </mergeCells>
  <hyperlinks>
    <hyperlink ref="I1" location="'בית'!A1" display="🏠 בית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5A6B76"/>
    <outlinePr summaryBelow="1" summaryRight="1"/>
    <pageSetUpPr/>
  </sheetPr>
  <dimension ref="A1:I41"/>
  <sheetViews>
    <sheetView rightToLeft="1" workbookViewId="0">
      <selection activeCell="A1" sqref="A1"/>
    </sheetView>
  </sheetViews>
  <sheetFormatPr baseColWidth="10" defaultColWidth="8.83203125" defaultRowHeight="14"/>
  <cols>
    <col width="2" customWidth="1" style="65" min="1" max="1"/>
    <col width="30" customWidth="1" style="65" min="2" max="2"/>
    <col width="14" customWidth="1" style="65" min="3" max="3"/>
    <col width="3" customWidth="1" style="65" min="4" max="4"/>
    <col width="30" customWidth="1" style="65" min="5" max="5"/>
    <col width="13" customWidth="1" style="65" min="6" max="7"/>
    <col width="12" customWidth="1" style="65" min="8" max="8"/>
  </cols>
  <sheetData>
    <row r="1" ht="28" customHeight="1" s="65">
      <c r="B1" s="70" t="inlineStr">
        <is>
          <t>מחשבונים וכלים</t>
        </is>
      </c>
      <c r="I1" s="15" t="inlineStr">
        <is>
          <t>🏠 בית</t>
        </is>
      </c>
    </row>
    <row r="2">
      <c r="B2" s="64" t="inlineStr">
        <is>
          <t>כלי עזר לפגישה. הנתונים נמשכים מהמאזן ומהחובות איפה שאפשר.</t>
        </is>
      </c>
    </row>
    <row r="3"/>
    <row r="4" ht="20" customHeight="1" s="65">
      <c r="B4" s="76" t="inlineStr">
        <is>
          <t>שווי הנכס ו-LTV — הגדלת משכנתא</t>
        </is>
      </c>
      <c r="E4" s="78" t="inlineStr">
        <is>
          <t>מחשבון ביטוח חיים — כמה כיסוי באמת צריך</t>
        </is>
      </c>
    </row>
    <row r="5">
      <c r="B5" s="90" t="inlineStr">
        <is>
          <t>שווי הנכס היום (מהמאזן)</t>
        </is>
      </c>
      <c r="C5" s="21">
        <f>N(מאזן!C14)</f>
        <v/>
      </c>
      <c r="E5" s="74" t="n"/>
      <c r="F5" s="35">
        <f>IF(שאלון!C6="","בן/בת זוג 1",שאלון!C6)</f>
        <v/>
      </c>
      <c r="G5" s="35">
        <f>IF(שאלון!D6="","בן/בת זוג 2",שאלון!D6)</f>
        <v/>
      </c>
    </row>
    <row r="6">
      <c r="B6" s="90" t="inlineStr">
        <is>
          <t>יתרת המשכנתא (מהמאזן)</t>
        </is>
      </c>
      <c r="C6" s="21">
        <f>N(מאזן!C21)</f>
        <v/>
      </c>
      <c r="E6" s="90" t="inlineStr">
        <is>
          <t>① הכנסה חודשית שנפסקת</t>
        </is>
      </c>
      <c r="F6" s="73" t="n"/>
      <c r="G6" s="73" t="n"/>
    </row>
    <row r="7">
      <c r="B7" s="23" t="inlineStr">
        <is>
          <t>◄ LTV — אחוז המימון הנוכחי</t>
        </is>
      </c>
      <c r="C7" s="120">
        <f>IFERROR(C6/C5,0)</f>
        <v/>
      </c>
      <c r="E7" s="90" t="inlineStr">
        <is>
          <t>(−) הכנסות שיישארו לשארים</t>
        </is>
      </c>
      <c r="F7" s="73" t="n"/>
      <c r="G7" s="73" t="n"/>
    </row>
    <row r="8">
      <c r="B8" s="90" t="inlineStr">
        <is>
          <t>תקרת מימון להגדלה</t>
        </is>
      </c>
      <c r="C8" s="38" t="n">
        <v>0.5</v>
      </c>
      <c r="E8" s="23" t="inlineStr">
        <is>
          <t>◄ הפער החודשי</t>
        </is>
      </c>
      <c r="F8" s="40">
        <f>N(F6)-N(F7)</f>
        <v/>
      </c>
      <c r="G8" s="40">
        <f>N(G6)-N(G7)</f>
        <v/>
      </c>
    </row>
    <row r="9">
      <c r="B9" s="23" t="inlineStr">
        <is>
          <t>◄ ניתן להגדיל עוד</t>
        </is>
      </c>
      <c r="C9" s="26">
        <f>MAX(0,C5*C8-C6)</f>
        <v/>
      </c>
      <c r="E9" s="90" t="inlineStr">
        <is>
          <t>שנים לכיסוי הפער</t>
        </is>
      </c>
      <c r="F9" s="19" t="n">
        <v>20</v>
      </c>
      <c r="G9" s="19" t="n">
        <v>20</v>
      </c>
    </row>
    <row r="10">
      <c r="B10" s="67" t="inlineStr">
        <is>
          <t>כל מטרה עד 50% · שיפור דיור עד 70% · דירה יחידה עד 75%.</t>
        </is>
      </c>
      <c r="E10" s="90" t="inlineStr">
        <is>
          <t>ריבית ריאלית להיוון</t>
        </is>
      </c>
      <c r="F10" s="113" t="n">
        <v>0.03</v>
      </c>
      <c r="G10" s="113" t="n">
        <v>0.03</v>
      </c>
    </row>
    <row r="11">
      <c r="E11" s="23" t="inlineStr">
        <is>
          <t>◄ הון להשלמת הכנסה (מהוון)</t>
        </is>
      </c>
      <c r="F11" s="24">
        <f>IF(N(F8)&lt;=0,0,IFERROR(-PV(F10/12,F9*12,F8),N(F8)*N(F9)*12))</f>
        <v/>
      </c>
      <c r="G11" s="24">
        <f>IF(N(G8)&lt;=0,0,IFERROR(-PV(G10/12,G9*12,G8),N(G8)*N(G9)*12))</f>
        <v/>
      </c>
    </row>
    <row r="12" ht="20" customHeight="1" s="65">
      <c r="B12" s="76" t="inlineStr">
        <is>
          <t>מחשבון מחזור משכנתא</t>
        </is>
      </c>
      <c r="E12" s="90" t="inlineStr">
        <is>
          <t>② חד-פעמי: סילוק חובות לא-מבוטחים</t>
        </is>
      </c>
      <c r="F12" s="73" t="n"/>
      <c r="G12" s="73" t="n"/>
    </row>
    <row r="13">
      <c r="B13" s="90" t="inlineStr">
        <is>
          <t>יתרת משכנתא</t>
        </is>
      </c>
      <c r="C13" s="21">
        <f>N(מאזן!C21)</f>
        <v/>
      </c>
      <c r="E13" s="90" t="inlineStr">
        <is>
          <t>② חד-פעמי: התארגנות ושנה ראשונה</t>
        </is>
      </c>
      <c r="F13" s="73" t="n"/>
      <c r="G13" s="73" t="n"/>
    </row>
    <row r="14">
      <c r="B14" s="90" t="inlineStr">
        <is>
          <t>ריבית שנתית נוכחית</t>
        </is>
      </c>
      <c r="C14" s="36" t="n">
        <v>0.052</v>
      </c>
      <c r="E14" s="90" t="inlineStr">
        <is>
          <t>② חד-פעמי: אחר (רכב, לימודים, מעבר)</t>
        </is>
      </c>
      <c r="F14" s="73" t="n"/>
      <c r="G14" s="73" t="n"/>
    </row>
    <row r="15">
      <c r="B15" s="90" t="inlineStr">
        <is>
          <t>שנים שנותרו</t>
        </is>
      </c>
      <c r="C15" s="19" t="n">
        <v>20</v>
      </c>
      <c r="E15" s="23" t="inlineStr">
        <is>
          <t>סה"כ חד-פעמי</t>
        </is>
      </c>
      <c r="F15" s="24">
        <f>SUM(F12:F14)</f>
        <v/>
      </c>
      <c r="G15" s="24">
        <f>SUM(G12:G14)</f>
        <v/>
      </c>
    </row>
    <row r="16">
      <c r="B16" s="90" t="inlineStr">
        <is>
          <t>ריבית שנתית חדשה</t>
        </is>
      </c>
      <c r="C16" s="36" t="n">
        <v>0.043</v>
      </c>
      <c r="E16" s="90" t="inlineStr">
        <is>
          <t>(−) נכסים נזילים והשקעות</t>
        </is>
      </c>
      <c r="F16" s="21">
        <f>N(מאזן!C6)+N(מאזן!C7)+N(מאזן!C8)+N(מאזן!C9)+N(מאזן!C10)+N(מאזן!C11)</f>
        <v/>
      </c>
      <c r="G16" s="21">
        <f>N(מאזן!C6)+N(מאזן!C7)+N(מאזן!C8)+N(מאזן!C9)+N(מאזן!C10)+N(מאזן!C11)</f>
        <v/>
      </c>
    </row>
    <row r="17">
      <c r="B17" s="90" t="inlineStr">
        <is>
          <t>החזר חודשי נוכחי</t>
        </is>
      </c>
      <c r="C17" s="21">
        <f>IFERROR(-PMT(C14/12,C15*12,C13),0)</f>
        <v/>
      </c>
      <c r="E17" s="90" t="inlineStr">
        <is>
          <t>(−) ביטוח חיים קיים (מהשאלון)</t>
        </is>
      </c>
      <c r="F17" s="21">
        <f>N(שאלון!C35)</f>
        <v/>
      </c>
      <c r="G17" s="21">
        <f>N(שאלון!D35)</f>
        <v/>
      </c>
    </row>
    <row r="18">
      <c r="B18" s="90" t="inlineStr">
        <is>
          <t>החזר חודשי אחרי מחזור</t>
        </is>
      </c>
      <c r="C18" s="21">
        <f>IFERROR(-PMT(C16/12,C15*12,C13),0)</f>
        <v/>
      </c>
      <c r="E18" s="23" t="inlineStr">
        <is>
          <t>◄◄ כיסוי נדרש בריסק</t>
        </is>
      </c>
      <c r="F18" s="53">
        <f>MAX(0,N(F11)+N(F15)-N(F16)-N(F17))</f>
        <v/>
      </c>
      <c r="G18" s="53">
        <f>MAX(0,N(G11)+N(G15)-N(G16)-N(G17))</f>
        <v/>
      </c>
    </row>
    <row r="19">
      <c r="B19" s="23" t="inlineStr">
        <is>
          <t>◄ חיסכון חודשי</t>
        </is>
      </c>
      <c r="C19" s="26">
        <f>C17-C18</f>
        <v/>
      </c>
      <c r="E19" s="80">
        <f>IF(F6+G6=0,"מלאו את ההכנסה שנפסקת ומה שיישאר — והפער יחושב לבד",IF(F18+G18=0,"🟢 הפער החודשי מכוסה — השארים והנכסים מספיקים","🔴 כיסוי נדרש: "&amp;F5&amp;" — "&amp;TEXT(F18,"#,##0")&amp;" ₪ · "&amp;G5&amp;" — "&amp;TEXT(G18,"#,##0")&amp;" ₪. לתמחר ריסק טהור"))</f>
        <v/>
      </c>
    </row>
    <row r="20">
      <c r="B20" s="23" t="inlineStr">
        <is>
          <t>◄ חיסכון על כל התקופה</t>
        </is>
      </c>
      <c r="C20" s="26">
        <f>C19*C15*12</f>
        <v/>
      </c>
    </row>
    <row r="21" ht="20" customHeight="1" s="65">
      <c r="B21" s="67" t="inlineStr">
        <is>
          <t>חישוב עקרוני במסלול אחד — כלי לשיחה, לא לביצוע.</t>
        </is>
      </c>
      <c r="E21" s="77" t="inlineStr">
        <is>
          <t>עזר: כמה קרן הפנסיה כבר מכסה (סכום בסיכון)</t>
        </is>
      </c>
    </row>
    <row r="22">
      <c r="E22" s="90" t="inlineStr">
        <is>
          <t>מקדם כיסוי מוות (מהדוח השנתי)</t>
        </is>
      </c>
      <c r="F22" s="19" t="n"/>
      <c r="G22" s="19" t="n"/>
    </row>
    <row r="23" ht="20" customHeight="1" s="65">
      <c r="B23" s="76" t="inlineStr">
        <is>
          <t>מחשבון יכולת רכישת נכס</t>
        </is>
      </c>
      <c r="E23" s="90" t="inlineStr">
        <is>
          <t>שכר מבוטח לפנסיה</t>
        </is>
      </c>
      <c r="F23" s="73" t="n"/>
      <c r="G23" s="73" t="n"/>
    </row>
    <row r="24">
      <c r="B24" s="90" t="inlineStr">
        <is>
          <t>הון עצמי זמין</t>
        </is>
      </c>
      <c r="C24" s="73" t="n"/>
      <c r="E24" s="90" t="inlineStr">
        <is>
          <t>צבירה בקרן (מהמאזן)</t>
        </is>
      </c>
      <c r="F24" s="21">
        <f>N(מאזן!C12)</f>
        <v/>
      </c>
      <c r="G24" s="21">
        <f>N(מאזן!C13)</f>
        <v/>
      </c>
    </row>
    <row r="25">
      <c r="B25" s="90" t="inlineStr">
        <is>
          <t>אחוז מימון מקסימלי</t>
        </is>
      </c>
      <c r="C25" s="38" t="n">
        <v>0.75</v>
      </c>
      <c r="E25" s="23" t="inlineStr">
        <is>
          <t>◄ סכום בסיכון — הכיסוי מהפנסיה</t>
        </is>
      </c>
      <c r="F25" s="37">
        <f>MAX(0,N(F22)*N(F23)*0.6-N(F24))</f>
        <v/>
      </c>
      <c r="G25" s="37">
        <f>MAX(0,N(G22)*N(G23)*0.6-N(G24))</f>
        <v/>
      </c>
    </row>
    <row r="26">
      <c r="B26" s="90" t="inlineStr">
        <is>
          <t>ריבית משכנתא שנתית</t>
        </is>
      </c>
      <c r="C26" s="36" t="n">
        <v>0.05</v>
      </c>
    </row>
    <row r="27">
      <c r="B27" s="90" t="inlineStr">
        <is>
          <t>תקופה (שנים)</t>
        </is>
      </c>
      <c r="C27" s="19" t="n">
        <v>25</v>
      </c>
      <c r="E27" s="79" t="inlineStr">
        <is>
          <t>ההיגיון: מחשבים כמה חודש-בחודש יחסר לשארים (אחרי קצבת שארים והכנסת בן הזוג), מהוונים את הפער לכל השנים, מוסיפים צרכים חד-פעמיים — ומנכים את מה שכבר יש. "סכום בסיכון" למטה מראה כמה כיסוי מובנה כבר קיים בקרן הפנסיה (מקדם × שכר × 60% − צבירה) — עוזר לדייק את שורת ההכנסות שיישארו.</t>
        </is>
      </c>
    </row>
    <row r="28">
      <c r="B28" s="23" t="inlineStr">
        <is>
          <t>◄ מחיר נכס מקסימלי</t>
        </is>
      </c>
      <c r="C28" s="37">
        <f>IFERROR(C24/(1-C25),0)</f>
        <v/>
      </c>
    </row>
    <row r="29">
      <c r="B29" s="90" t="inlineStr">
        <is>
          <t>סכום המשכנתא</t>
        </is>
      </c>
      <c r="C29" s="21">
        <f>C28*C25</f>
        <v/>
      </c>
    </row>
    <row r="30">
      <c r="B30" s="90" t="inlineStr">
        <is>
          <t>החזר חודשי צפוי</t>
        </is>
      </c>
      <c r="C30" s="21">
        <f>IFERROR(-PMT(C26/12,C27*12,C29),0)</f>
        <v/>
      </c>
    </row>
    <row r="31" ht="20" customHeight="1" s="65">
      <c r="B31" s="23" t="inlineStr">
        <is>
          <t>◄ נטל מההכנסה החודשית</t>
        </is>
      </c>
      <c r="C31" s="50">
        <f>IFERROR(C30/MAX(1,IF(תזרים!$AC$2&gt;0,תזרים!AB12/תזרים!$AC$2,תזרים!AA12/12)),0)</f>
        <v/>
      </c>
      <c r="E31" s="77" t="inlineStr">
        <is>
          <t>מיפוי ביטוחים משפחתי — מי מכוסה במה</t>
        </is>
      </c>
    </row>
    <row r="32" ht="28" customHeight="1" s="65">
      <c r="B32" s="67" t="inlineStr">
        <is>
          <t>דירה ראשונה עד 75% מימון · נטל החזר בריא: עד 30-35% מההכנסה נטו.</t>
        </is>
      </c>
      <c r="E32" s="74" t="inlineStr">
        <is>
          <t>בן משפחה</t>
        </is>
      </c>
      <c r="F32" s="74" t="inlineStr">
        <is>
          <t>ביטוח בריאות (חברה)</t>
        </is>
      </c>
      <c r="G32" s="74" t="inlineStr">
        <is>
          <t>ביטוחים נוספים</t>
        </is>
      </c>
      <c r="H32" s="74" t="inlineStr">
        <is>
          <t>פרמיה חודשית</t>
        </is>
      </c>
    </row>
    <row r="33">
      <c r="E33" s="35">
        <f>IF(שאלון!C6="","בן/בת זוג 1",שאלון!C6)</f>
        <v/>
      </c>
      <c r="F33" s="72" t="n"/>
      <c r="G33" s="72" t="n"/>
      <c r="H33" s="73" t="n"/>
    </row>
    <row r="34">
      <c r="E34" s="35">
        <f>IF(שאלון!D6="","בן/בת זוג 2",שאלון!D6)</f>
        <v/>
      </c>
      <c r="F34" s="72" t="n"/>
      <c r="G34" s="72" t="n"/>
      <c r="H34" s="73" t="n"/>
    </row>
    <row r="35">
      <c r="E35" s="72" t="inlineStr">
        <is>
          <t>ילד/ה 1</t>
        </is>
      </c>
      <c r="F35" s="72" t="n"/>
      <c r="G35" s="72" t="n"/>
      <c r="H35" s="73" t="n"/>
    </row>
    <row r="36">
      <c r="E36" s="72" t="inlineStr">
        <is>
          <t>ילד/ה 2</t>
        </is>
      </c>
      <c r="F36" s="72" t="n"/>
      <c r="G36" s="72" t="n"/>
      <c r="H36" s="73" t="n"/>
    </row>
    <row r="37">
      <c r="E37" s="72" t="inlineStr">
        <is>
          <t>ילד/ה 3</t>
        </is>
      </c>
      <c r="F37" s="72" t="n"/>
      <c r="G37" s="72" t="n"/>
      <c r="H37" s="73" t="n"/>
    </row>
    <row r="38">
      <c r="E38" s="72" t="inlineStr">
        <is>
          <t>ילד/ה 4</t>
        </is>
      </c>
      <c r="F38" s="72" t="n"/>
      <c r="G38" s="72" t="n"/>
      <c r="H38" s="73" t="n"/>
    </row>
    <row r="39">
      <c r="E39" s="23" t="inlineStr">
        <is>
          <t>סה"כ פרמיות</t>
        </is>
      </c>
      <c r="H39" s="24">
        <f>SUM(H33:H38)</f>
        <v/>
      </c>
    </row>
    <row r="40"/>
    <row r="41">
      <c r="E41" s="67" t="inlineStr">
        <is>
          <t>שמות ההורים מתעדכנים מהשאלון. להשוות את סה"כ הפרמיות מול שורת הביטוחים במיפוי — פערים = כפל ביטוח או חוסר.</t>
        </is>
      </c>
    </row>
  </sheetData>
  <mergeCells count="14">
    <mergeCell ref="E27:H29"/>
    <mergeCell ref="B2:G2"/>
    <mergeCell ref="B21:C21"/>
    <mergeCell ref="E31:H31"/>
    <mergeCell ref="E4:H4"/>
    <mergeCell ref="B10:C10"/>
    <mergeCell ref="B1:G1"/>
    <mergeCell ref="B23:C23"/>
    <mergeCell ref="E21:H21"/>
    <mergeCell ref="B32:C32"/>
    <mergeCell ref="E41:H41"/>
    <mergeCell ref="E19:H19"/>
    <mergeCell ref="B4:C4"/>
    <mergeCell ref="B12:C12"/>
  </mergeCells>
  <hyperlinks>
    <hyperlink ref="I1" location="'בית'!A1" display="🏠 בית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2026-07-30T05:34:37Z</dcterms:created>
  <dcterms:modified xmlns:dcterms="http://purl.org/dc/terms/" xmlns:xsi="http://www.w3.org/2001/XMLSchema-instance" xsi:type="dcterms:W3CDTF">2026-08-02T16:32:20Z</dcterms:modified>
  <cp:lastModifiedBy>Nir Yifrah</cp:lastModifiedBy>
</cp:coreProperties>
</file>